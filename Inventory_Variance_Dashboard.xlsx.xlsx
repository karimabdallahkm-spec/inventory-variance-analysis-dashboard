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مشاريع بإستخدام chatGPT\المشروع في صورته النهائية المختصرة للرفع\"/>
    </mc:Choice>
  </mc:AlternateContent>
  <xr:revisionPtr revIDLastSave="0" documentId="13_ncr:1_{762EC432-F0D3-4B11-97EB-0EF0C6885018}" xr6:coauthVersionLast="47" xr6:coauthVersionMax="47" xr10:uidLastSave="{00000000-0000-0000-0000-000000000000}"/>
  <bookViews>
    <workbookView xWindow="-120" yWindow="-120" windowWidth="20730" windowHeight="11160" tabRatio="617" firstSheet="4" activeTab="6" xr2:uid="{00000000-000D-0000-FFFF-FFFF00000000}"/>
  </bookViews>
  <sheets>
    <sheet name="Fact_Inventory" sheetId="1" r:id="rId1"/>
    <sheet name="PT_StockStatus" sheetId="2" r:id="rId2"/>
    <sheet name="PT_ByUnit" sheetId="3" r:id="rId3"/>
    <sheet name="PT_ByCategory" sheetId="4" r:id="rId4"/>
    <sheet name="Dashboard1" sheetId="8" r:id="rId5"/>
    <sheet name="Pivot_Inventory2" sheetId="11" r:id="rId6"/>
    <sheet name="Column Chart3" sheetId="12" r:id="rId7"/>
  </sheets>
  <definedNames>
    <definedName name="ExternalData_1" localSheetId="4" hidden="1">Dashboard1!$A$1:$H$10</definedName>
    <definedName name="ExternalData_1" localSheetId="0" hidden="1">Fact_Inventory!$A$1:$H$10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uery1_eca566bc-a935-4286-8f48-6a3678b40130" name="Query1" connection="Query - Query1"/>
          <x15:modelTable id="transactions_366c8afa-90bf-4878-a978-b78a55f34113" name="transactions" connection="Query - transactions"/>
          <x15:modelTable id="Items_63f3d6ae-e854-49aa-9f90-674eb8740329" name="Items" connection="Query - Items"/>
          <x15:modelTable id="Invetorysnapshot_335d3355-42b0-4977-8b5d-9ae7988abe72" name="Invetorysnapshot" connection="Query - Invetorysnapshot"/>
          <x15:modelTable id="Fact_Inventory_7f4b16b7-3a9e-4ebe-b200-43dda06e3fa0" name="Fact_Inventory" connection="Query - Fact_Invento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8" l="1"/>
  <c r="G9" i="8"/>
  <c r="G8" i="8"/>
  <c r="G7" i="8"/>
  <c r="G6" i="8"/>
  <c r="G5" i="8"/>
  <c r="G4" i="8"/>
  <c r="G3" i="8"/>
  <c r="G2" i="8"/>
  <c r="G10" i="1"/>
  <c r="G9" i="1"/>
  <c r="G8" i="1"/>
  <c r="G7" i="1"/>
  <c r="G6" i="1"/>
  <c r="G5" i="1"/>
  <c r="G4" i="1"/>
  <c r="G3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146E29-A694-407E-A716-C7E53174AE09}" keepAlive="1" name="ModelConnection_ExternalData_1" description="Data Model" type="5" refreshedVersion="8" minRefreshableVersion="5" saveData="1">
    <dbPr connection="Data Model Connection" command="Fact_Inventory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4A00CBD1-8C3A-4B89-817B-5DD938B24DCE}" keepAlive="1" name="ModelConnection_ExternalData_11" description="Data Model" type="5" refreshedVersion="8" minRefreshableVersion="5" saveData="1">
    <dbPr connection="Data Model Connection" command="Fact_Inventory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7F3226BF-37C5-4DE3-9C47-B4FF25EEE332}" name="Query - Fact_Inventory" description="Connection to the 'Fact_Inventory' query in the workbook." type="100" refreshedVersion="8" minRefreshableVersion="5">
    <extLst>
      <ext xmlns:x15="http://schemas.microsoft.com/office/spreadsheetml/2010/11/main" uri="{DE250136-89BD-433C-8126-D09CA5730AF9}">
        <x15:connection id="384ed22b-ec09-43ba-9b83-68a0e859f9e9"/>
      </ext>
    </extLst>
  </connection>
  <connection id="4" xr16:uid="{BB6C3D0F-1950-43FF-9C70-74258B2E9939}" name="Query - Invetorysnapshot" description="Connection to the 'Invetorysnapshot' query in the workbook." type="100" refreshedVersion="8" minRefreshableVersion="5">
    <extLst>
      <ext xmlns:x15="http://schemas.microsoft.com/office/spreadsheetml/2010/11/main" uri="{DE250136-89BD-433C-8126-D09CA5730AF9}">
        <x15:connection id="8c81c5ea-a00f-430a-abd1-f065c7fd8e97"/>
      </ext>
    </extLst>
  </connection>
  <connection id="5" xr16:uid="{CFDF9D8A-75C0-44BD-A4B1-803AB6B5B82B}" name="Query - Items" description="Connection to the 'Items' query in the workbook." type="100" refreshedVersion="8" minRefreshableVersion="5">
    <extLst>
      <ext xmlns:x15="http://schemas.microsoft.com/office/spreadsheetml/2010/11/main" uri="{DE250136-89BD-433C-8126-D09CA5730AF9}">
        <x15:connection id="35eb4b1c-afdb-4974-a630-c9be6ae82a09"/>
      </ext>
    </extLst>
  </connection>
  <connection id="6" xr16:uid="{8DCB84AE-5F93-4FFF-A165-485B39AF880C}" name="Query - Query1" description="Connection to the 'Query1' query in the workbook." type="100" refreshedVersion="8" minRefreshableVersion="5">
    <extLst>
      <ext xmlns:x15="http://schemas.microsoft.com/office/spreadsheetml/2010/11/main" uri="{DE250136-89BD-433C-8126-D09CA5730AF9}">
        <x15:connection id="61c51105-f8ac-415d-9cfd-a62f6eb3b191"/>
      </ext>
    </extLst>
  </connection>
  <connection id="7" xr16:uid="{ABD8039A-D30D-446E-A21E-78640BC45920}" name="Query - transactions" description="Connection to the 'transactions' query in the workbook." type="100" refreshedVersion="8" minRefreshableVersion="5">
    <extLst>
      <ext xmlns:x15="http://schemas.microsoft.com/office/spreadsheetml/2010/11/main" uri="{DE250136-89BD-433C-8126-D09CA5730AF9}">
        <x15:connection id="d8339f63-ffc2-4876-8db3-ebc21f89f5bb"/>
      </ext>
    </extLst>
  </connection>
  <connection id="8" xr16:uid="{DBF8962F-587C-4040-A744-7865C354525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<sst xmlns="http://schemas.openxmlformats.org/spreadsheetml/2006/main" count="118" uniqueCount="38">
  <si>
    <t>ItemID</t>
  </si>
  <si>
    <t>ItemName</t>
  </si>
  <si>
    <t>Category</t>
  </si>
  <si>
    <t>SnapshotQty</t>
  </si>
  <si>
    <t>SystemQty</t>
  </si>
  <si>
    <t>Difference</t>
  </si>
  <si>
    <t>Unit</t>
  </si>
  <si>
    <t>Copper Wire 1mm</t>
  </si>
  <si>
    <t>Conductors</t>
  </si>
  <si>
    <t>meter</t>
  </si>
  <si>
    <t>PVC Insulation Tube</t>
  </si>
  <si>
    <t>Insulation</t>
  </si>
  <si>
    <t>Heat Shrink Tubing</t>
  </si>
  <si>
    <t>piece</t>
  </si>
  <si>
    <t>Terminal Ring M4</t>
  </si>
  <si>
    <t>Connectors</t>
  </si>
  <si>
    <t>Cable Ties 100mm</t>
  </si>
  <si>
    <t>Fasteners</t>
  </si>
  <si>
    <t>Adhesive Tape</t>
  </si>
  <si>
    <t>Consumables</t>
  </si>
  <si>
    <t>roll</t>
  </si>
  <si>
    <t>Aluminum Strip 2mm</t>
  </si>
  <si>
    <t>Crimp Connector Set</t>
  </si>
  <si>
    <t>set</t>
  </si>
  <si>
    <t>Heat Gun</t>
  </si>
  <si>
    <t>Tools</t>
  </si>
  <si>
    <t>Stock status</t>
  </si>
  <si>
    <t>Row Labels</t>
  </si>
  <si>
    <t>Match</t>
  </si>
  <si>
    <t>overage</t>
  </si>
  <si>
    <t>Grand Total</t>
  </si>
  <si>
    <t>Sum of SnapshotQty</t>
  </si>
  <si>
    <t>Count of ItemID</t>
  </si>
  <si>
    <t>Sum of SystemQty</t>
  </si>
  <si>
    <t>Sum of Difference</t>
  </si>
  <si>
    <t>Physical Qty</t>
  </si>
  <si>
    <t>System Qty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</si>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</sst>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indent="1"/>
    </xf>
    <xf numFmtId="0" fontId="1" fillId="0" borderId="9" xfId="0" applyFont="1" applyBorder="1" applyAlignment="1">
      <alignment horizontal="center" vertical="center" indent="1"/>
    </xf>
    <xf numFmtId="0" fontId="1" fillId="0" borderId="7" xfId="0" applyFont="1" applyBorder="1" applyAlignment="1">
      <alignment horizontal="center" vertical="center" indent="1"/>
    </xf>
    <xf numFmtId="0" fontId="1" fillId="3" borderId="1" xfId="0" applyFont="1" applyFill="1" applyBorder="1" applyAlignment="1">
      <alignment horizontal="center" vertical="center"/>
    </xf>
    <xf numFmtId="0" fontId="1" fillId="0" borderId="10" xfId="0" pivotButton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 indent="1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15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F0"/>
      </font>
    </dxf>
    <dxf>
      <font>
        <color rgb="FF00B0F0"/>
      </font>
    </dxf>
    <dxf>
      <font>
        <color rgb="FF00B0F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F0"/>
      </font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b/>
      </font>
    </dxf>
    <dxf>
      <font>
        <color rgb="FF00B050"/>
      </font>
    </dxf>
    <dxf>
      <font>
        <color rgb="FF00B0F0"/>
      </font>
    </dxf>
    <dxf>
      <font>
        <color rgb="FF00B0F0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font>
        <color theme="1"/>
      </font>
    </dxf>
    <dxf>
      <font>
        <color theme="1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b/>
      </font>
    </dxf>
    <dxf>
      <font>
        <color rgb="FF00B050"/>
      </font>
    </dxf>
    <dxf>
      <font>
        <color rgb="FF00B0F0"/>
      </font>
    </dxf>
    <dxf>
      <font>
        <color rgb="FF00B0F0"/>
      </font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E82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[Inventory-Variance-Final-Project (Recovered).xlsx]Pivot_Inventory2!PivotTable2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47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50800" dir="5400000" sx="101000" sy="101000" algn="ctr" rotWithShape="0">
                    <a:srgbClr val="2E8254">
                      <a:alpha val="69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4700" baseline="0">
                <a:effectLst>
                  <a:outerShdw blurRad="50800" dist="50800" dir="5400000" sx="101000" sy="101000" algn="ctr" rotWithShape="0">
                    <a:srgbClr val="2E8254">
                      <a:alpha val="69000"/>
                    </a:srgbClr>
                  </a:outerShdw>
                </a:effectLst>
              </a:rPr>
              <a:t>Inventory Variance Dashboard</a:t>
            </a:r>
          </a:p>
        </c:rich>
      </c:tx>
      <c:layout>
        <c:manualLayout>
          <c:xMode val="edge"/>
          <c:yMode val="edge"/>
          <c:x val="0.29226742798799199"/>
          <c:y val="1.237345331833521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47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50800" dir="5400000" sx="101000" sy="101000" algn="ctr" rotWithShape="0">
                  <a:srgbClr val="2E8254">
                    <a:alpha val="69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03200" cap="rnd">
            <a:solidFill>
              <a:schemeClr val="accent1"/>
            </a:solidFill>
            <a:miter lim="800000"/>
          </a:ln>
          <a:effectLst>
            <a:softEdge rad="0"/>
          </a:effectLst>
        </c:spPr>
        <c:marker>
          <c:symbol val="none"/>
        </c:marker>
        <c:dLbl>
          <c:idx val="0"/>
          <c:spPr>
            <a:solidFill>
              <a:schemeClr val="tx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ln w="203200" cap="rnd">
            <a:solidFill>
              <a:schemeClr val="accent3"/>
            </a:solidFill>
            <a:miter lim="800000"/>
          </a:ln>
          <a:effectLst>
            <a:outerShdw blurRad="57150" dist="19050" dir="5400000" algn="ctr" rotWithShape="0">
              <a:srgbClr val="000000">
                <a:alpha val="50000"/>
              </a:srgbClr>
            </a:outerShdw>
            <a:softEdge rad="0"/>
          </a:effectLst>
        </c:spPr>
        <c:marker>
          <c:symbol val="none"/>
        </c:marker>
        <c:dLbl>
          <c:idx val="0"/>
          <c:layout>
            <c:manualLayout>
              <c:x val="4.1578576462297394E-2"/>
              <c:y val="9.5238095238094952E-3"/>
            </c:manualLayout>
          </c:layout>
          <c:spPr>
            <a:solidFill>
              <a:schemeClr val="tx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2E825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03200" cap="rnd">
            <a:solidFill>
              <a:schemeClr val="accent3"/>
            </a:solidFill>
            <a:miter lim="800000"/>
          </a:ln>
          <a:effectLst>
            <a:softEdge rad="0"/>
          </a:effectLst>
        </c:spPr>
        <c:marker>
          <c:symbol val="none"/>
        </c:marker>
        <c:dLbl>
          <c:idx val="0"/>
          <c:layout>
            <c:manualLayout>
              <c:x val="-1.4799154334038054E-2"/>
              <c:y val="7.7777777777777779E-2"/>
            </c:manualLayout>
          </c:layout>
          <c:spPr>
            <a:solidFill>
              <a:schemeClr val="tx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2E825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ln w="203200" cap="rnd">
            <a:solidFill>
              <a:schemeClr val="accent3"/>
            </a:solidFill>
            <a:miter lim="800000"/>
          </a:ln>
          <a:effectLst>
            <a:softEdge rad="0"/>
          </a:effectLst>
        </c:spPr>
        <c:marker>
          <c:symbol val="none"/>
        </c:marker>
        <c:dLbl>
          <c:idx val="0"/>
          <c:layout>
            <c:manualLayout>
              <c:x val="6.3424947145876865E-3"/>
              <c:y val="3.4920634920634921E-2"/>
            </c:manualLayout>
          </c:layout>
          <c:spPr>
            <a:solidFill>
              <a:schemeClr val="tx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03200" cap="rnd">
            <a:solidFill>
              <a:schemeClr val="accent3"/>
            </a:solidFill>
            <a:miter lim="800000"/>
          </a:ln>
          <a:effectLst>
            <a:softEdge rad="0"/>
          </a:effectLst>
        </c:spPr>
        <c:marker>
          <c:symbol val="none"/>
        </c:marker>
        <c:dLbl>
          <c:idx val="0"/>
          <c:layout>
            <c:manualLayout>
              <c:x val="-1.6913319238900739E-2"/>
              <c:y val="8.5714285714285715E-2"/>
            </c:manualLayout>
          </c:layout>
          <c:spPr>
            <a:solidFill>
              <a:schemeClr val="tx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2E825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03200" cap="rnd">
            <a:solidFill>
              <a:schemeClr val="accent3"/>
            </a:solidFill>
            <a:miter lim="800000"/>
          </a:ln>
          <a:effectLst>
            <a:softEdge rad="0"/>
          </a:effectLst>
        </c:spPr>
        <c:marker>
          <c:symbol val="none"/>
        </c:marker>
        <c:dLbl>
          <c:idx val="0"/>
          <c:layout>
            <c:manualLayout>
              <c:x val="-2.8188865398167725E-3"/>
              <c:y val="4.2857142857142858E-2"/>
            </c:manualLayout>
          </c:layout>
          <c:spPr>
            <a:solidFill>
              <a:schemeClr val="tx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03200" cap="rnd">
            <a:solidFill>
              <a:schemeClr val="accent3"/>
            </a:solidFill>
            <a:miter lim="800000"/>
          </a:ln>
          <a:effectLst>
            <a:softEdge rad="0"/>
          </a:effectLst>
        </c:spPr>
        <c:marker>
          <c:symbol val="none"/>
        </c:marker>
        <c:dLbl>
          <c:idx val="0"/>
          <c:layout>
            <c:manualLayout>
              <c:x val="-7.0472163495419312E-3"/>
              <c:y val="4.7619047619047505E-2"/>
            </c:manualLayout>
          </c:layout>
          <c:spPr>
            <a:solidFill>
              <a:schemeClr val="tx1"/>
            </a:solidFill>
            <a:ln>
              <a:solidFill>
                <a:schemeClr val="bg1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rgbClr val="2E825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2095298341407131E-2"/>
          <c:y val="0.12312873390826147"/>
          <c:w val="0.81036617780071363"/>
          <c:h val="0.567011998500187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Pivot_Inventory2!$B$3</c:f>
              <c:strCache>
                <c:ptCount val="1"/>
                <c:pt idx="0">
                  <c:v>Physical Qty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337-4AF7-8DBB-4372395BA34B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337-4AF7-8DBB-4372395BA34B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C47-4C2E-B101-6BB93BD76B90}"/>
              </c:ext>
            </c:extLst>
          </c:dPt>
          <c:cat>
            <c:strRef>
              <c:f>Pivot_Inventory2!$A$4:$A$10</c:f>
              <c:strCache>
                <c:ptCount val="6"/>
                <c:pt idx="0">
                  <c:v>Conductors</c:v>
                </c:pt>
                <c:pt idx="1">
                  <c:v>Connectors</c:v>
                </c:pt>
                <c:pt idx="2">
                  <c:v>Consumables</c:v>
                </c:pt>
                <c:pt idx="3">
                  <c:v>Fasteners</c:v>
                </c:pt>
                <c:pt idx="4">
                  <c:v>Insulation</c:v>
                </c:pt>
                <c:pt idx="5">
                  <c:v>Tools</c:v>
                </c:pt>
              </c:strCache>
            </c:strRef>
          </c:cat>
          <c:val>
            <c:numRef>
              <c:f>Pivot_Inventory2!$B$4:$B$10</c:f>
              <c:numCache>
                <c:formatCode>General</c:formatCode>
                <c:ptCount val="6"/>
                <c:pt idx="0">
                  <c:v>1550</c:v>
                </c:pt>
                <c:pt idx="1">
                  <c:v>2100</c:v>
                </c:pt>
                <c:pt idx="2">
                  <c:v>200</c:v>
                </c:pt>
                <c:pt idx="3">
                  <c:v>8500</c:v>
                </c:pt>
                <c:pt idx="4">
                  <c:v>1700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8-4916-81F9-17E2EB4AFC92}"/>
            </c:ext>
          </c:extLst>
        </c:ser>
        <c:ser>
          <c:idx val="1"/>
          <c:order val="1"/>
          <c:tx>
            <c:strRef>
              <c:f>Pivot_Inventory2!$C$3</c:f>
              <c:strCache>
                <c:ptCount val="1"/>
                <c:pt idx="0">
                  <c:v>System Qty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C47-4C2E-B101-6BB93BD76B90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FEE-4F93-9DD9-819D6C0E9F15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C47-4C2E-B101-6BB93BD76B90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FEE-4F93-9DD9-819D6C0E9F15}"/>
              </c:ext>
            </c:extLst>
          </c:dPt>
          <c:cat>
            <c:strRef>
              <c:f>Pivot_Inventory2!$A$4:$A$10</c:f>
              <c:strCache>
                <c:ptCount val="6"/>
                <c:pt idx="0">
                  <c:v>Conductors</c:v>
                </c:pt>
                <c:pt idx="1">
                  <c:v>Connectors</c:v>
                </c:pt>
                <c:pt idx="2">
                  <c:v>Consumables</c:v>
                </c:pt>
                <c:pt idx="3">
                  <c:v>Fasteners</c:v>
                </c:pt>
                <c:pt idx="4">
                  <c:v>Insulation</c:v>
                </c:pt>
                <c:pt idx="5">
                  <c:v>Tools</c:v>
                </c:pt>
              </c:strCache>
            </c:strRef>
          </c:cat>
          <c:val>
            <c:numRef>
              <c:f>Pivot_Inventory2!$C$4:$C$10</c:f>
              <c:numCache>
                <c:formatCode>General</c:formatCode>
                <c:ptCount val="6"/>
                <c:pt idx="0">
                  <c:v>1450</c:v>
                </c:pt>
                <c:pt idx="1">
                  <c:v>2100</c:v>
                </c:pt>
                <c:pt idx="2">
                  <c:v>200</c:v>
                </c:pt>
                <c:pt idx="3">
                  <c:v>-1500</c:v>
                </c:pt>
                <c:pt idx="4">
                  <c:v>700</c:v>
                </c:pt>
                <c:pt idx="5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8-4916-81F9-17E2EB4AF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24405071"/>
        <c:axId val="1114952751"/>
      </c:barChart>
      <c:lineChart>
        <c:grouping val="standard"/>
        <c:varyColors val="0"/>
        <c:ser>
          <c:idx val="2"/>
          <c:order val="2"/>
          <c:tx>
            <c:strRef>
              <c:f>Pivot_Inventory2!$D$3</c:f>
              <c:strCache>
                <c:ptCount val="1"/>
                <c:pt idx="0">
                  <c:v>Variance</c:v>
                </c:pt>
              </c:strCache>
            </c:strRef>
          </c:tx>
          <c:spPr>
            <a:ln w="203200" cap="rnd">
              <a:solidFill>
                <a:schemeClr val="accent3"/>
              </a:solidFill>
              <a:miter lim="800000"/>
            </a:ln>
            <a:effectLst>
              <a:softEdge rad="0"/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03200" cap="rnd">
                <a:solidFill>
                  <a:schemeClr val="accent3"/>
                </a:solidFill>
                <a:miter lim="800000"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4-E9F5-42AC-834D-BBCCB5133B10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03200" cap="rnd">
                <a:solidFill>
                  <a:schemeClr val="accent3"/>
                </a:solidFill>
                <a:miter lim="800000"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2-E9F5-42AC-834D-BBCCB5133B10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03200" cap="rnd">
                <a:solidFill>
                  <a:schemeClr val="accent3"/>
                </a:solidFill>
                <a:miter lim="800000"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0-E9F5-42AC-834D-BBCCB5133B10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203200" cap="rnd">
                <a:solidFill>
                  <a:schemeClr val="accent3"/>
                </a:solidFill>
                <a:miter lim="800000"/>
              </a:ln>
              <a:effectLst>
                <a:outerShdw blurRad="57150" dist="19050" dir="5400000" algn="ctr" rotWithShape="0">
                  <a:srgbClr val="000000">
                    <a:alpha val="50000"/>
                  </a:srgbClr>
                </a:outerShdw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6-7337-4AF7-8DBB-4372395BA34B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03200" cap="rnd">
                <a:solidFill>
                  <a:schemeClr val="accent3"/>
                </a:solidFill>
                <a:miter lim="800000"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1-E9F5-42AC-834D-BBCCB5133B10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03200" cap="rnd">
                <a:solidFill>
                  <a:schemeClr val="accent3"/>
                </a:solidFill>
                <a:miter lim="800000"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13-E9F5-42AC-834D-BBCCB5133B10}"/>
              </c:ext>
            </c:extLst>
          </c:dPt>
          <c:dLbls>
            <c:dLbl>
              <c:idx val="0"/>
              <c:layout>
                <c:manualLayout>
                  <c:x val="-1.4799154334038054E-2"/>
                  <c:y val="7.7777777777777779E-2"/>
                </c:manualLayout>
              </c:layout>
              <c:spPr>
                <a:solidFill>
                  <a:schemeClr val="tx1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2E825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9F5-42AC-834D-BBCCB5133B10}"/>
                </c:ext>
              </c:extLst>
            </c:dLbl>
            <c:dLbl>
              <c:idx val="1"/>
              <c:layout>
                <c:manualLayout>
                  <c:x val="-2.8188865398167725E-3"/>
                  <c:y val="4.2857142857142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9F5-42AC-834D-BBCCB5133B10}"/>
                </c:ext>
              </c:extLst>
            </c:dLbl>
            <c:dLbl>
              <c:idx val="2"/>
              <c:layout>
                <c:manualLayout>
                  <c:x val="6.3424947145876865E-3"/>
                  <c:y val="3.49206349206349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9F5-42AC-834D-BBCCB5133B10}"/>
                </c:ext>
              </c:extLst>
            </c:dLbl>
            <c:dLbl>
              <c:idx val="3"/>
              <c:layout>
                <c:manualLayout>
                  <c:x val="4.1578576462297394E-2"/>
                  <c:y val="9.5238095238094952E-3"/>
                </c:manualLayout>
              </c:layout>
              <c:spPr>
                <a:solidFill>
                  <a:schemeClr val="tx1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2E825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337-4AF7-8DBB-4372395BA34B}"/>
                </c:ext>
              </c:extLst>
            </c:dLbl>
            <c:dLbl>
              <c:idx val="4"/>
              <c:layout>
                <c:manualLayout>
                  <c:x val="-1.6913319238900739E-2"/>
                  <c:y val="8.5714285714285715E-2"/>
                </c:manualLayout>
              </c:layout>
              <c:spPr>
                <a:solidFill>
                  <a:schemeClr val="tx1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2E825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9F5-42AC-834D-BBCCB5133B10}"/>
                </c:ext>
              </c:extLst>
            </c:dLbl>
            <c:dLbl>
              <c:idx val="5"/>
              <c:layout>
                <c:manualLayout>
                  <c:x val="-7.0472163495419312E-3"/>
                  <c:y val="4.7619047619047505E-2"/>
                </c:manualLayout>
              </c:layout>
              <c:spPr>
                <a:solidFill>
                  <a:schemeClr val="tx1"/>
                </a:solidFill>
                <a:ln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rgbClr val="2E825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9F5-42AC-834D-BBCCB5133B10}"/>
                </c:ext>
              </c:extLst>
            </c:dLbl>
            <c:spPr>
              <a:solidFill>
                <a:schemeClr val="tx1"/>
              </a:solidFill>
              <a:ln>
                <a:solidFill>
                  <a:schemeClr val="bg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8100">
                      <a:solidFill>
                        <a:schemeClr val="tx1"/>
                      </a:solidFill>
                    </a:ln>
                    <a:effectLst>
                      <a:glow rad="63500">
                        <a:schemeClr val="accent3">
                          <a:satMod val="175000"/>
                          <a:alpha val="40000"/>
                        </a:schemeClr>
                      </a:glow>
                    </a:effectLst>
                  </c:spPr>
                </c15:leaderLines>
              </c:ext>
            </c:extLst>
          </c:dLbls>
          <c:cat>
            <c:strRef>
              <c:f>Pivot_Inventory2!$A$4:$A$10</c:f>
              <c:strCache>
                <c:ptCount val="6"/>
                <c:pt idx="0">
                  <c:v>Conductors</c:v>
                </c:pt>
                <c:pt idx="1">
                  <c:v>Connectors</c:v>
                </c:pt>
                <c:pt idx="2">
                  <c:v>Consumables</c:v>
                </c:pt>
                <c:pt idx="3">
                  <c:v>Fasteners</c:v>
                </c:pt>
                <c:pt idx="4">
                  <c:v>Insulation</c:v>
                </c:pt>
                <c:pt idx="5">
                  <c:v>Tools</c:v>
                </c:pt>
              </c:strCache>
            </c:strRef>
          </c:cat>
          <c:val>
            <c:numRef>
              <c:f>Pivot_Inventory2!$D$4:$D$10</c:f>
              <c:numCache>
                <c:formatCode>General</c:formatCode>
                <c:ptCount val="6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10000</c:v>
                </c:pt>
                <c:pt idx="4">
                  <c:v>1000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68-4916-81F9-17E2EB4AF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1324687"/>
        <c:axId val="1461315087"/>
      </c:lineChart>
      <c:catAx>
        <c:axId val="102440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bg1"/>
                </a:solidFill>
                <a:effectLst>
                  <a:outerShdw blurRad="50800" dist="50800" dir="5400000" algn="ctr" rotWithShape="0">
                    <a:srgbClr val="2E8254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952751"/>
        <c:crossesAt val="0"/>
        <c:auto val="1"/>
        <c:lblAlgn val="ctr"/>
        <c:lblOffset val="100"/>
        <c:noMultiLvlLbl val="0"/>
      </c:catAx>
      <c:valAx>
        <c:axId val="1114952751"/>
        <c:scaling>
          <c:orientation val="minMax"/>
        </c:scaling>
        <c:delete val="0"/>
        <c:axPos val="l"/>
        <c:majorGridlines>
          <c:spPr>
            <a:ln w="25400" cap="flat" cmpd="dbl" algn="ctr">
              <a:solidFill>
                <a:schemeClr val="dk1"/>
              </a:solidFill>
              <a:prstDash val="lgDash"/>
              <a:round/>
              <a:headEnd type="triangle"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sz="35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effectLst>
                      <a:outerShdw blurRad="50800" dist="50800" dir="5400000" sx="101000" sy="101000" algn="ctr" rotWithShape="0">
                        <a:srgbClr val="2E8254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 sz="3500" baseline="0">
                    <a:effectLst>
                      <a:outerShdw blurRad="50800" dist="50800" dir="5400000" sx="101000" sy="101000" algn="ctr" rotWithShape="0">
                        <a:srgbClr val="2E8254"/>
                      </a:outerShdw>
                    </a:effectLst>
                  </a:rPr>
                  <a:t>Quantity</a:t>
                </a:r>
              </a:p>
            </c:rich>
          </c:tx>
          <c:layout>
            <c:manualLayout>
              <c:xMode val="edge"/>
              <c:yMode val="edge"/>
              <c:x val="1.7703328838652041E-2"/>
              <c:y val="0.279481939757530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sz="35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effectLst>
                    <a:outerShdw blurRad="50800" dist="50800" dir="5400000" sx="101000" sy="101000" algn="ctr" rotWithShape="0">
                      <a:srgbClr val="2E8254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1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05071"/>
        <c:crosses val="autoZero"/>
        <c:crossBetween val="between"/>
        <c:majorUnit val="2000"/>
      </c:valAx>
      <c:valAx>
        <c:axId val="14613150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35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effectLst>
                      <a:outerShdw blurRad="50800" dist="50800" dir="5400000" sx="101000" sy="101000" algn="ctr" rotWithShape="0">
                        <a:srgbClr val="2E8254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 sz="2350" baseline="0">
                    <a:effectLst>
                      <a:outerShdw blurRad="50800" dist="50800" dir="5400000" sx="101000" sy="101000" algn="ctr" rotWithShape="0">
                        <a:srgbClr val="2E8254"/>
                      </a:outerShdw>
                    </a:effectLst>
                  </a:rPr>
                  <a:t>Difference ( over / short )</a:t>
                </a:r>
              </a:p>
            </c:rich>
          </c:tx>
          <c:layout>
            <c:manualLayout>
              <c:xMode val="edge"/>
              <c:yMode val="edge"/>
              <c:x val="0.95261967782568402"/>
              <c:y val="0.179136482939632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35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effectLst>
                    <a:outerShdw blurRad="50800" dist="50800" dir="5400000" sx="101000" sy="101000" algn="ctr" rotWithShape="0">
                      <a:srgbClr val="2E8254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7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324687"/>
        <c:crosses val="max"/>
        <c:crossBetween val="between"/>
        <c:majorUnit val="1000"/>
      </c:valAx>
      <c:catAx>
        <c:axId val="1461324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1315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>
          <a:glow rad="50800">
            <a:schemeClr val="accent1">
              <a:alpha val="40000"/>
            </a:schemeClr>
          </a:glow>
          <a:outerShdw blurRad="50800" dist="50800" dir="5400000" sx="1000" sy="1000" algn="ctr" rotWithShape="0">
            <a:schemeClr val="bg1">
              <a:lumMod val="85000"/>
            </a:schemeClr>
          </a:outerShdw>
        </a:effectLst>
      </c:spPr>
    </c:plotArea>
    <c:legend>
      <c:legendPos val="r"/>
      <c:legendEntry>
        <c:idx val="0"/>
        <c:txPr>
          <a:bodyPr rot="0" spcFirstLastPara="1" vertOverflow="ellipsis" vert="horz" wrap="square" anchor="ctr" anchorCtr="0"/>
          <a:lstStyle/>
          <a:p>
            <a:pPr>
              <a:defRPr sz="30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effectLst>
                  <a:outerShdw blurRad="50800" dist="50800" dir="5400000" algn="ctr" rotWithShape="0">
                    <a:srgbClr val="2E8254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0"/>
          <a:lstStyle/>
          <a:p>
            <a:pPr>
              <a:defRPr sz="3000" b="0" i="0" u="none" strike="noStrike" kern="1200" baseline="0">
                <a:ln>
                  <a:noFill/>
                </a:ln>
                <a:solidFill>
                  <a:schemeClr val="lt1">
                    <a:lumMod val="85000"/>
                  </a:schemeClr>
                </a:solidFill>
                <a:effectLst>
                  <a:glow>
                    <a:schemeClr val="accent1">
                      <a:alpha val="37000"/>
                    </a:schemeClr>
                  </a:glow>
                  <a:outerShdw blurRad="50800" dist="50800" dir="5400000" algn="ctr" rotWithShape="0">
                    <a:srgbClr val="2E8254"/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29101657483089455"/>
          <c:y val="0.84213685789276338"/>
          <c:w val="0.66421978436627771"/>
          <c:h val="0.12452980877390327"/>
        </c:manualLayout>
      </c:layout>
      <c:overlay val="0"/>
      <c:spPr>
        <a:noFill/>
        <a:ln>
          <a:gradFill>
            <a:gsLst>
              <a:gs pos="65142">
                <a:srgbClr val="BDD7EE"/>
              </a:gs>
              <a:gs pos="78000">
                <a:srgbClr val="C8DDF1"/>
              </a:gs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  <c:txPr>
        <a:bodyPr rot="0" spcFirstLastPara="1" vertOverflow="ellipsis" vert="horz" wrap="square" anchor="ctr" anchorCtr="0"/>
        <a:lstStyle/>
        <a:p>
          <a:pPr>
            <a:defRPr sz="3000" b="0" i="0" u="none" strike="noStrike" kern="1200" baseline="0">
              <a:ln>
                <a:noFill/>
              </a:ln>
              <a:solidFill>
                <a:schemeClr val="lt1">
                  <a:lumMod val="85000"/>
                </a:schemeClr>
              </a:solidFill>
              <a:effectLst>
                <a:outerShdw blurRad="50800" dist="50800" dir="5400000" algn="ctr" rotWithShape="0">
                  <a:srgbClr val="2E8254"/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dk1">
          <a:alpha val="99000"/>
        </a:schemeClr>
      </a:solidFill>
    </a:ln>
    <a:effectLst/>
    <a:scene3d>
      <a:camera prst="orthographicFront"/>
      <a:lightRig rig="freezing" dir="t"/>
    </a:scene3d>
    <a:sp3d prstMaterial="dkEdge">
      <a:bevelT w="184150" h="177800" prst="convex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323850</xdr:colOff>
      <xdr:row>8</xdr:row>
      <xdr:rowOff>38100</xdr:rowOff>
    </xdr:from>
    <xdr:to>
      <xdr:col>31</xdr:col>
      <xdr:colOff>57150</xdr:colOff>
      <xdr:row>50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1E8D14-2D0F-45AC-996E-8E3101A89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0.47463</cdr:x>
      <cdr:y>0.44286</cdr:y>
    </cdr:from>
    <cdr:to>
      <cdr:x>0.52537</cdr:x>
      <cdr:y>0.55714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AA7753B-873F-4BE2-A205-1D2E32ADC261}"/>
            </a:ext>
          </a:extLst>
        </cdr:cNvPr>
        <cdr:cNvSpPr txBox="1"/>
      </cdr:nvSpPr>
      <cdr:spPr>
        <a:xfrm xmlns:a="http://schemas.openxmlformats.org/drawingml/2006/main">
          <a:off x="8553450" y="35433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0.49049</cdr:x>
      <cdr:y>0.51905</cdr:y>
    </cdr:from>
    <cdr:to>
      <cdr:x>0.54123</cdr:x>
      <cdr:y>0.63333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12528207-6BAC-62DA-3183-AB2E9E8B0662}"/>
            </a:ext>
          </a:extLst>
        </cdr:cNvPr>
        <cdr:cNvSpPr txBox="1"/>
      </cdr:nvSpPr>
      <cdr:spPr>
        <a:xfrm xmlns:a="http://schemas.openxmlformats.org/drawingml/2006/main">
          <a:off x="8839200" y="41529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0.47463</cdr:x>
      <cdr:y>0.44286</cdr:y>
    </cdr:from>
    <cdr:to>
      <cdr:x>0.52537</cdr:x>
      <cdr:y>0.55714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27B3B9CD-64CB-C754-5D22-A0FC7A8910B2}"/>
            </a:ext>
          </a:extLst>
        </cdr:cNvPr>
        <cdr:cNvSpPr txBox="1"/>
      </cdr:nvSpPr>
      <cdr:spPr>
        <a:xfrm xmlns:a="http://schemas.openxmlformats.org/drawingml/2006/main">
          <a:off x="8553450" y="35433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0.34672</cdr:x>
      <cdr:y>0.27619</cdr:y>
    </cdr:from>
    <cdr:to>
      <cdr:x>0.48943</cdr:x>
      <cdr:y>0.45238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7224B73A-5803-61D2-E2C2-42FDEB3EB1FE}"/>
            </a:ext>
          </a:extLst>
        </cdr:cNvPr>
        <cdr:cNvSpPr txBox="1"/>
      </cdr:nvSpPr>
      <cdr:spPr>
        <a:xfrm xmlns:a="http://schemas.openxmlformats.org/drawingml/2006/main">
          <a:off x="6248400" y="2209800"/>
          <a:ext cx="2571750" cy="1409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0.47463</cdr:x>
      <cdr:y>0.44286</cdr:y>
    </cdr:from>
    <cdr:to>
      <cdr:x>0.52537</cdr:x>
      <cdr:y>0.55714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EDDA4E0-36CA-2009-0B52-A46D6836800C}"/>
            </a:ext>
          </a:extLst>
        </cdr:cNvPr>
        <cdr:cNvSpPr txBox="1"/>
      </cdr:nvSpPr>
      <cdr:spPr>
        <a:xfrm xmlns:a="http://schemas.openxmlformats.org/drawingml/2006/main">
          <a:off x="8553450" y="35433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0.47463</cdr:x>
      <cdr:y>0.44286</cdr:y>
    </cdr:from>
    <cdr:to>
      <cdr:x>0.52537</cdr:x>
      <cdr:y>0.55714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F5F2A8B2-9E19-ED5B-D2BE-20F87848F52D}"/>
            </a:ext>
          </a:extLst>
        </cdr:cNvPr>
        <cdr:cNvSpPr txBox="1"/>
      </cdr:nvSpPr>
      <cdr:spPr>
        <a:xfrm xmlns:a="http://schemas.openxmlformats.org/drawingml/2006/main">
          <a:off x="8553450" y="35433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0.02326</cdr:x>
      <cdr:y>0.79048</cdr:y>
    </cdr:from>
    <cdr:to>
      <cdr:x>0.23679</cdr:x>
      <cdr:y>0.96429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B0303999-BA7A-4DF3-EEBF-F33E47A488F7}"/>
            </a:ext>
          </a:extLst>
        </cdr:cNvPr>
        <cdr:cNvSpPr txBox="1"/>
      </cdr:nvSpPr>
      <cdr:spPr>
        <a:xfrm xmlns:a="http://schemas.openxmlformats.org/drawingml/2006/main">
          <a:off x="419101" y="6324600"/>
          <a:ext cx="3848100" cy="1390649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0">
          <a:schemeClr val="dk1"/>
        </a:lnRef>
        <a:fillRef xmlns:a="http://schemas.openxmlformats.org/drawingml/2006/main" idx="3">
          <a:schemeClr val="dk1"/>
        </a:fillRef>
        <a:effectRef xmlns:a="http://schemas.openxmlformats.org/drawingml/2006/main" idx="3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800" b="1" kern="1200">
              <a:solidFill>
                <a:schemeClr val="bg1"/>
              </a:solidFill>
              <a:effectLst>
                <a:outerShdw blurRad="50800" dist="50800" dir="5400000" sx="101000" sy="101000" algn="ctr" rotWithShape="0">
                  <a:srgbClr val="2E8254"/>
                </a:outerShdw>
              </a:effectLst>
            </a:rPr>
            <a:t>Positive Variance →</a:t>
          </a:r>
          <a:r>
            <a:rPr lang="en-US" sz="2400" b="1" kern="1200" baseline="0">
              <a:solidFill>
                <a:srgbClr val="2E8254"/>
              </a:solidFill>
              <a:effectLst>
                <a:outerShdw blurRad="50800" dist="50800" dir="5400000" sx="101000" sy="101000" algn="ctr" rotWithShape="0">
                  <a:srgbClr val="2E8254"/>
                </a:outerShdw>
              </a:effectLst>
            </a:rPr>
            <a:t> </a:t>
          </a:r>
          <a:r>
            <a:rPr lang="ar-EG" sz="2400" b="1" kern="1200">
              <a:solidFill>
                <a:srgbClr val="2E8254"/>
              </a:solidFill>
              <a:effectLst>
                <a:outerShdw blurRad="50800" dist="50800" dir="5400000" sx="101000" sy="101000" algn="ctr" rotWithShape="0">
                  <a:srgbClr val="2E8254"/>
                </a:outerShdw>
              </a:effectLst>
            </a:rPr>
            <a:t> </a:t>
          </a:r>
          <a:r>
            <a:rPr lang="en-US" sz="2400" b="1" kern="1200">
              <a:solidFill>
                <a:srgbClr val="2E8254"/>
              </a:solidFill>
              <a:effectLst>
                <a:outerShdw blurRad="50800" dist="50800" dir="5400000" sx="101000" sy="101000" algn="ctr" rotWithShape="0">
                  <a:schemeClr val="tx1"/>
                </a:outerShdw>
              </a:effectLst>
            </a:rPr>
            <a:t>(Over)</a:t>
          </a:r>
        </a:p>
        <a:p xmlns:a="http://schemas.openxmlformats.org/drawingml/2006/main">
          <a:pPr algn="ctr"/>
          <a:r>
            <a:rPr lang="en-US" sz="1600" b="1" kern="1200">
              <a:solidFill>
                <a:schemeClr val="bg1"/>
              </a:solidFill>
              <a:effectLst>
                <a:outerShdw blurRad="50800" dist="50800" dir="5400000" sx="101000" sy="101000" algn="ctr" rotWithShape="0">
                  <a:srgbClr val="2E8254"/>
                </a:outerShdw>
              </a:effectLst>
            </a:rPr>
            <a:t>Negative </a:t>
          </a:r>
          <a:r>
            <a:rPr lang="en-US" sz="1800" b="1" kern="1200">
              <a:solidFill>
                <a:schemeClr val="bg1"/>
              </a:solidFill>
              <a:effectLst>
                <a:outerShdw blurRad="50800" dist="50800" dir="5400000" sx="101000" sy="101000" algn="ctr" rotWithShape="0">
                  <a:srgbClr val="2E8254"/>
                </a:outerShdw>
              </a:effectLst>
            </a:rPr>
            <a:t>Variance</a:t>
          </a:r>
          <a:r>
            <a:rPr lang="en-US" sz="1600" b="1" kern="1200">
              <a:solidFill>
                <a:schemeClr val="bg1"/>
              </a:solidFill>
              <a:effectLst>
                <a:outerShdw blurRad="50800" dist="50800" dir="5400000" sx="101000" sy="101000" algn="ctr" rotWithShape="0">
                  <a:srgbClr val="2E8254"/>
                </a:outerShdw>
              </a:effectLst>
            </a:rPr>
            <a:t> </a:t>
          </a:r>
          <a:r>
            <a:rPr lang="en-US" sz="1800" b="1" kern="1200">
              <a:solidFill>
                <a:schemeClr val="bg1"/>
              </a:solidFill>
              <a:effectLst>
                <a:outerShdw blurRad="50800" dist="50800" dir="5400000" sx="101000" sy="101000" algn="ctr" rotWithShape="0">
                  <a:srgbClr val="2E8254"/>
                </a:outerShdw>
              </a:effectLst>
            </a:rPr>
            <a:t>→</a:t>
          </a:r>
          <a:r>
            <a:rPr lang="en-US" sz="1600" b="1" kern="1200">
              <a:solidFill>
                <a:schemeClr val="bg1"/>
              </a:solidFill>
              <a:effectLst>
                <a:outerShdw blurRad="50800" dist="50800" dir="5400000" sx="101000" sy="101000" algn="ctr" rotWithShape="0">
                  <a:srgbClr val="2E8254"/>
                </a:outerShdw>
              </a:effectLst>
            </a:rPr>
            <a:t> </a:t>
          </a:r>
          <a:r>
            <a:rPr lang="en-US" sz="2400" b="1" kern="1200">
              <a:solidFill>
                <a:srgbClr val="FF0000"/>
              </a:solidFill>
              <a:effectLst>
                <a:outerShdw blurRad="50800" dist="50800" dir="5400000" sx="101000" sy="101000" algn="ctr" rotWithShape="0">
                  <a:schemeClr val="tx1"/>
                </a:outerShdw>
              </a:effectLst>
            </a:rPr>
            <a:t>(Short)</a:t>
          </a:r>
          <a:endParaRPr lang="en-US" sz="1600" b="1" kern="1200">
            <a:solidFill>
              <a:srgbClr val="FF0000"/>
            </a:solidFill>
            <a:effectLst>
              <a:outerShdw blurRad="50800" dist="50800" dir="5400000" sx="101000" sy="101000" algn="ctr" rotWithShape="0">
                <a:schemeClr val="tx1"/>
              </a:outerShdw>
            </a:effectLst>
          </a:endParaRPr>
        </a:p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>
              <a:solidFill>
                <a:schemeClr val="bg1"/>
              </a:solidFill>
              <a:effectLst>
                <a:outerShdw blurRad="50800" dist="50800" dir="5400000" sx="101000" sy="101000" algn="ctr" rotWithShape="0">
                  <a:srgbClr val="2E8254"/>
                </a:outerShdw>
              </a:effectLst>
            </a:rPr>
            <a:t>Zero Variance →</a:t>
          </a:r>
          <a:r>
            <a:rPr lang="en-US" sz="1800" b="1">
              <a:solidFill>
                <a:schemeClr val="bg1"/>
              </a:solidFill>
              <a:effectLst>
                <a:outerShdw blurRad="50800" dist="50800" dir="5400000" sx="101000" sy="101000" algn="ctr" rotWithShape="0">
                  <a:schemeClr val="tx1"/>
                </a:outerShdw>
              </a:effectLst>
            </a:rPr>
            <a:t> </a:t>
          </a:r>
          <a:r>
            <a:rPr lang="en-US" sz="2400" b="1">
              <a:solidFill>
                <a:schemeClr val="bg1"/>
              </a:solidFill>
              <a:effectLst>
                <a:outerShdw blurRad="50800" dist="50800" dir="5400000" sx="101000" sy="101000" algn="ctr" rotWithShape="0">
                  <a:schemeClr val="tx1"/>
                </a:outerShdw>
              </a:effectLst>
            </a:rPr>
            <a:t>(Match</a:t>
          </a:r>
          <a:r>
            <a:rPr lang="en-US" sz="2400">
              <a:solidFill>
                <a:schemeClr val="bg1"/>
              </a:solidFill>
              <a:effectLst>
                <a:outerShdw blurRad="50800" dist="50800" dir="5400000" sx="101000" sy="101000" algn="ctr" rotWithShape="0">
                  <a:schemeClr val="tx1"/>
                </a:outerShdw>
              </a:effectLst>
            </a:rPr>
            <a:t>)</a:t>
          </a:r>
        </a:p>
        <a:p xmlns:a="http://schemas.openxmlformats.org/drawingml/2006/main">
          <a:pPr algn="ctr"/>
          <a:endParaRPr lang="en-US" sz="1600" b="1" kern="1200">
            <a:solidFill>
              <a:schemeClr val="bg1"/>
            </a:solidFill>
            <a:effectLst>
              <a:outerShdw blurRad="50800" dist="50800" dir="5400000" sx="101000" sy="101000" algn="ctr" rotWithShape="0">
                <a:schemeClr val="tx1"/>
              </a:outerShdw>
            </a:effectLst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2.790162962963" createdVersion="8" refreshedVersion="8" minRefreshableVersion="3" recordCount="9" xr:uid="{8C13F3D8-2796-444F-9EE1-98D3B6D6A5EE}">
  <cacheSource type="worksheet">
    <worksheetSource name="Fact_Inventory3"/>
  </cacheSource>
  <cacheFields count="8">
    <cacheField name="ItemID" numFmtId="0">
      <sharedItems containsSemiMixedTypes="0" containsString="0" containsNumber="1" containsInteger="1" minValue="101" maxValue="109"/>
    </cacheField>
    <cacheField name="ItemName" numFmtId="0">
      <sharedItems count="9">
        <s v="Copper Wire 1mm"/>
        <s v="PVC Insulation Tube"/>
        <s v="Heat Shrink Tubing"/>
        <s v="Terminal Ring M4"/>
        <s v="Cable Ties 100mm"/>
        <s v="Adhesive Tape"/>
        <s v="Aluminum Strip 2mm"/>
        <s v="Crimp Connector Set"/>
        <s v="Heat Gun"/>
      </sharedItems>
    </cacheField>
    <cacheField name="Category" numFmtId="0">
      <sharedItems count="6">
        <s v="Conductors"/>
        <s v="Insulation"/>
        <s v="Connectors"/>
        <s v="Fasteners"/>
        <s v="Consumables"/>
        <s v="Tools"/>
      </sharedItems>
    </cacheField>
    <cacheField name="SnapshotQty" numFmtId="0">
      <sharedItems containsSemiMixedTypes="0" containsString="0" containsNumber="1" containsInteger="1" minValue="3" maxValue="8500"/>
    </cacheField>
    <cacheField name="SystemQty" numFmtId="0">
      <sharedItems containsSemiMixedTypes="0" containsString="0" containsNumber="1" containsInteger="1" minValue="-1500" maxValue="2000"/>
    </cacheField>
    <cacheField name="Difference" numFmtId="0">
      <sharedItems containsSemiMixedTypes="0" containsString="0" containsNumber="1" containsInteger="1" minValue="0" maxValue="10000"/>
    </cacheField>
    <cacheField name="Stock status" numFmtId="0">
      <sharedItems/>
    </cacheField>
    <cacheField name="Un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2.790163194448" createdVersion="8" refreshedVersion="8" minRefreshableVersion="3" recordCount="9" xr:uid="{0DB38448-4948-488D-98B7-B643223B657D}">
  <cacheSource type="worksheet">
    <worksheetSource name="Fact_Inventory"/>
  </cacheSource>
  <cacheFields count="8">
    <cacheField name="ItemID" numFmtId="0">
      <sharedItems containsSemiMixedTypes="0" containsString="0" containsNumber="1" containsInteger="1" minValue="101" maxValue="109"/>
    </cacheField>
    <cacheField name="ItemName" numFmtId="0">
      <sharedItems/>
    </cacheField>
    <cacheField name="Category" numFmtId="0">
      <sharedItems count="6">
        <s v="Conductors"/>
        <s v="Insulation"/>
        <s v="Connectors"/>
        <s v="Fasteners"/>
        <s v="Consumables"/>
        <s v="Tools"/>
      </sharedItems>
    </cacheField>
    <cacheField name="SnapshotQty" numFmtId="0">
      <sharedItems containsSemiMixedTypes="0" containsString="0" containsNumber="1" containsInteger="1" minValue="3" maxValue="8500"/>
    </cacheField>
    <cacheField name="SystemQty" numFmtId="0">
      <sharedItems containsSemiMixedTypes="0" containsString="0" containsNumber="1" containsInteger="1" minValue="-1500" maxValue="2000"/>
    </cacheField>
    <cacheField name="Difference" numFmtId="0">
      <sharedItems containsSemiMixedTypes="0" containsString="0" containsNumber="1" containsInteger="1" minValue="0" maxValue="10000"/>
    </cacheField>
    <cacheField name="Stock status" numFmtId="0">
      <sharedItems count="2">
        <s v="Match"/>
        <s v="overage"/>
      </sharedItems>
    </cacheField>
    <cacheField name="Unit" numFmtId="0">
      <sharedItems count="4">
        <s v="meter"/>
        <s v="piece"/>
        <s v="roll"/>
        <s v="s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1"/>
    <x v="0"/>
    <x v="0"/>
    <n v="1500"/>
    <n v="1500"/>
    <n v="0"/>
    <s v="Match"/>
    <s v="meter"/>
  </r>
  <r>
    <n v="102"/>
    <x v="1"/>
    <x v="1"/>
    <n v="1000"/>
    <n v="1000"/>
    <n v="0"/>
    <s v="Match"/>
    <s v="meter"/>
  </r>
  <r>
    <n v="103"/>
    <x v="2"/>
    <x v="1"/>
    <n v="700"/>
    <n v="-300"/>
    <n v="1000"/>
    <s v="overage"/>
    <s v="piece"/>
  </r>
  <r>
    <n v="104"/>
    <x v="3"/>
    <x v="2"/>
    <n v="2000"/>
    <n v="2000"/>
    <n v="0"/>
    <s v="Match"/>
    <s v="piece"/>
  </r>
  <r>
    <n v="105"/>
    <x v="4"/>
    <x v="3"/>
    <n v="8500"/>
    <n v="-1500"/>
    <n v="10000"/>
    <s v="overage"/>
    <s v="piece"/>
  </r>
  <r>
    <n v="106"/>
    <x v="5"/>
    <x v="4"/>
    <n v="200"/>
    <n v="200"/>
    <n v="0"/>
    <s v="Match"/>
    <s v="roll"/>
  </r>
  <r>
    <n v="107"/>
    <x v="6"/>
    <x v="0"/>
    <n v="50"/>
    <n v="-50"/>
    <n v="100"/>
    <s v="overage"/>
    <s v="meter"/>
  </r>
  <r>
    <n v="108"/>
    <x v="7"/>
    <x v="2"/>
    <n v="100"/>
    <n v="100"/>
    <n v="0"/>
    <s v="Match"/>
    <s v="set"/>
  </r>
  <r>
    <n v="109"/>
    <x v="8"/>
    <x v="5"/>
    <n v="3"/>
    <n v="-2"/>
    <n v="5"/>
    <s v="overage"/>
    <s v="piec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101"/>
    <s v="Copper Wire 1mm"/>
    <x v="0"/>
    <n v="1500"/>
    <n v="1500"/>
    <n v="0"/>
    <x v="0"/>
    <x v="0"/>
  </r>
  <r>
    <n v="102"/>
    <s v="PVC Insulation Tube"/>
    <x v="1"/>
    <n v="1000"/>
    <n v="1000"/>
    <n v="0"/>
    <x v="0"/>
    <x v="0"/>
  </r>
  <r>
    <n v="103"/>
    <s v="Heat Shrink Tubing"/>
    <x v="1"/>
    <n v="700"/>
    <n v="-300"/>
    <n v="1000"/>
    <x v="1"/>
    <x v="1"/>
  </r>
  <r>
    <n v="104"/>
    <s v="Terminal Ring M4"/>
    <x v="2"/>
    <n v="2000"/>
    <n v="2000"/>
    <n v="0"/>
    <x v="0"/>
    <x v="1"/>
  </r>
  <r>
    <n v="105"/>
    <s v="Cable Ties 100mm"/>
    <x v="3"/>
    <n v="8500"/>
    <n v="-1500"/>
    <n v="10000"/>
    <x v="1"/>
    <x v="1"/>
  </r>
  <r>
    <n v="106"/>
    <s v="Adhesive Tape"/>
    <x v="4"/>
    <n v="200"/>
    <n v="200"/>
    <n v="0"/>
    <x v="0"/>
    <x v="2"/>
  </r>
  <r>
    <n v="107"/>
    <s v="Aluminum Strip 2mm"/>
    <x v="0"/>
    <n v="50"/>
    <n v="-50"/>
    <n v="100"/>
    <x v="1"/>
    <x v="0"/>
  </r>
  <r>
    <n v="108"/>
    <s v="Crimp Connector Set"/>
    <x v="2"/>
    <n v="100"/>
    <n v="100"/>
    <n v="0"/>
    <x v="0"/>
    <x v="3"/>
  </r>
  <r>
    <n v="109"/>
    <s v="Heat Gun"/>
    <x v="5"/>
    <n v="3"/>
    <n v="-2"/>
    <n v="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69199-7892-47C4-9ECF-C53F3421D08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" firstHeaderRow="0" firstDataRow="1" firstDataCol="1"/>
  <pivotFields count="8">
    <pivotField dataField="1" showAll="0"/>
    <pivotField showAll="0"/>
    <pivotField showAll="0"/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ItemID" fld="0" subtotal="count" baseField="6" baseItem="0"/>
    <dataField name="Sum of SnapshotQty" fld="3" baseField="0" baseItem="0"/>
    <dataField name="Sum of SystemQty" fld="4" baseField="0" baseItem="0"/>
    <dataField name="Sum of Difference" fld="5" baseField="0" baseItem="0"/>
  </dataFields>
  <formats count="22">
    <format dxfId="146">
      <pivotArea outline="0" collapsedLevelsAreSubtotals="1" fieldPosition="0"/>
    </format>
    <format dxfId="145">
      <pivotArea collapsedLevelsAreSubtotals="1" fieldPosition="0">
        <references count="1">
          <reference field="6" count="1">
            <x v="1"/>
          </reference>
        </references>
      </pivotArea>
    </format>
    <format dxfId="144">
      <pivotArea dataOnly="0" labelOnly="1" fieldPosition="0">
        <references count="1">
          <reference field="6" count="1">
            <x v="1"/>
          </reference>
        </references>
      </pivotArea>
    </format>
    <format dxfId="143">
      <pivotArea collapsedLevelsAreSubtotals="1" fieldPosition="0">
        <references count="1">
          <reference field="6" count="1">
            <x v="1"/>
          </reference>
        </references>
      </pivotArea>
    </format>
    <format dxfId="142">
      <pivotArea dataOnly="0" labelOnly="1" fieldPosition="0">
        <references count="1">
          <reference field="6" count="1">
            <x v="1"/>
          </reference>
        </references>
      </pivotArea>
    </format>
    <format dxfId="141">
      <pivotArea collapsedLevelsAreSubtotals="1" fieldPosition="0">
        <references count="1">
          <reference field="6" count="1">
            <x v="1"/>
          </reference>
        </references>
      </pivotArea>
    </format>
    <format dxfId="140">
      <pivotArea dataOnly="0" labelOnly="1" fieldPosition="0">
        <references count="1">
          <reference field="6" count="1">
            <x v="1"/>
          </reference>
        </references>
      </pivotArea>
    </format>
    <format dxfId="139">
      <pivotArea dataOnly="0" fieldPosition="0">
        <references count="1">
          <reference field="6" count="1">
            <x v="0"/>
          </reference>
        </references>
      </pivotArea>
    </format>
    <format dxfId="138">
      <pivotArea dataOnly="0" fieldPosition="0">
        <references count="1">
          <reference field="6" count="1">
            <x v="0"/>
          </reference>
        </references>
      </pivotArea>
    </format>
    <format dxfId="137">
      <pivotArea dataOnly="0" fieldPosition="0">
        <references count="1">
          <reference field="6" count="1">
            <x v="0"/>
          </reference>
        </references>
      </pivotArea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field="6" type="button" dataOnly="0" labelOnly="1" outline="0" axis="axisRow" fieldPosition="0"/>
    </format>
    <format dxfId="133">
      <pivotArea dataOnly="0" labelOnly="1" fieldPosition="0">
        <references count="1">
          <reference field="6" count="0"/>
        </references>
      </pivotArea>
    </format>
    <format dxfId="132">
      <pivotArea dataOnly="0" labelOnly="1" grandRow="1" outline="0" fieldPosition="0"/>
    </format>
    <format dxfId="1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6" type="button" dataOnly="0" labelOnly="1" outline="0" axis="axisRow" fieldPosition="0"/>
    </format>
    <format dxfId="127">
      <pivotArea dataOnly="0" labelOnly="1" fieldPosition="0">
        <references count="1">
          <reference field="6" count="0"/>
        </references>
      </pivotArea>
    </format>
    <format dxfId="126">
      <pivotArea dataOnly="0" labelOnly="1" grandRow="1" outline="0" fieldPosition="0"/>
    </format>
    <format dxfId="1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27D11-4CE2-4622-BF71-F2905A848872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0" firstDataRow="1" firstDataCol="1"/>
  <pivotFields count="8">
    <pivotField dataField="1" showAll="0"/>
    <pivotField showAll="0"/>
    <pivotField showAll="0"/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6"/>
    <field x="7"/>
  </rowFields>
  <rowItems count="9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ItemID" fld="0" subtotal="count" baseField="7" baseItem="0"/>
    <dataField name="Sum of SnapshotQty" fld="3" baseField="0" baseItem="0"/>
    <dataField name="Sum of SystemQty" fld="4" baseField="0" baseItem="0"/>
    <dataField name="Sum of Difference" fld="5" baseField="0" baseItem="0"/>
  </dataFields>
  <formats count="85">
    <format dxfId="124">
      <pivotArea outline="0" collapsedLevelsAreSubtotals="1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6" type="button" dataOnly="0" labelOnly="1" outline="0" axis="axisRow" fieldPosition="0"/>
    </format>
    <format dxfId="120">
      <pivotArea dataOnly="0" labelOnly="1" grandRow="1" outline="0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6" type="button" dataOnly="0" labelOnly="1" outline="0" axis="axisRow" fieldPosition="0"/>
    </format>
    <format dxfId="116">
      <pivotArea dataOnly="0" labelOnly="1" grandRow="1" outline="0" fieldPosition="0"/>
    </format>
    <format dxfId="115">
      <pivotArea outline="0"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6" count="1" selected="0">
            <x v="0"/>
          </reference>
        </references>
      </pivotArea>
    </format>
    <format dxfId="114">
      <pivotArea type="origin" dataOnly="0" labelOnly="1" outline="0" offset="A2" fieldPosition="0"/>
    </format>
    <format dxfId="113">
      <pivotArea dataOnly="0" labelOnly="1" fieldPosition="0">
        <references count="1">
          <reference field="6" count="1">
            <x v="0"/>
          </reference>
        </references>
      </pivotArea>
    </format>
    <format dxfId="112">
      <pivotArea outline="0"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6" count="1" selected="0">
            <x v="1"/>
          </reference>
        </references>
      </pivotArea>
    </format>
    <format dxfId="111">
      <pivotArea dataOnly="0" labelOnly="1" fieldPosition="0">
        <references count="1">
          <reference field="6" count="1">
            <x v="1"/>
          </reference>
        </references>
      </pivotArea>
    </format>
    <format dxfId="110">
      <pivotArea field="6" dataOnly="0" grandRow="1" outline="0" axis="axisRow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09">
      <pivotArea type="origin" dataOnly="0" labelOnly="1" outline="0" offset="A2" fieldPosition="0"/>
    </format>
    <format dxfId="108">
      <pivotArea dataOnly="0" labelOnly="1" fieldPosition="0">
        <references count="1">
          <reference field="6" count="1">
            <x v="0"/>
          </reference>
        </references>
      </pivotArea>
    </format>
    <format dxfId="107">
      <pivotArea dataOnly="0" labelOnly="1" fieldPosition="0">
        <references count="1">
          <reference field="6" count="1">
            <x v="1"/>
          </reference>
        </references>
      </pivotArea>
    </format>
    <format dxfId="106">
      <pivotArea field="6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05">
      <pivotArea field="6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04">
      <pivotArea field="6" dataOnly="0" labelOnly="1" grandRow="1" outline="0" axis="axisRow" fieldPosition="0">
        <references count="1">
          <reference field="4294967294" count="1" selected="0">
            <x v="2"/>
          </reference>
        </references>
      </pivotArea>
    </format>
    <format dxfId="103">
      <pivotArea field="6" dataOnly="0" labelOnly="1" grandRow="1" outline="0" axis="axisRow" fieldPosition="0">
        <references count="1">
          <reference field="4294967294" count="1" selected="0">
            <x v="3"/>
          </reference>
        </references>
      </pivotArea>
    </format>
    <format dxfId="102">
      <pivotArea field="6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101">
      <pivotArea field="6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100">
      <pivotArea field="6" dataOnly="0" labelOnly="1" grandRow="1" outline="0" axis="axisRow" fieldPosition="0">
        <references count="1">
          <reference field="4294967294" count="1" selected="0">
            <x v="2"/>
          </reference>
        </references>
      </pivotArea>
    </format>
    <format dxfId="99">
      <pivotArea field="6" dataOnly="0" labelOnly="1" grandRow="1" outline="0" axis="axisRow" fieldPosition="0">
        <references count="1">
          <reference field="4294967294" count="1" selected="0">
            <x v="3"/>
          </reference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type="origin" dataOnly="0" labelOnly="1" outline="0" fieldPosition="0"/>
    </format>
    <format dxfId="95">
      <pivotArea field="6" type="button" dataOnly="0" labelOnly="1" outline="0" axis="axisRow" fieldPosition="0"/>
    </format>
    <format dxfId="94">
      <pivotArea field="-2" type="button" dataOnly="0" labelOnly="1" outline="0" axis="axisCol" fieldPosition="0"/>
    </format>
    <format dxfId="93">
      <pivotArea type="topRight" dataOnly="0" labelOnly="1" outline="0" fieldPosition="0"/>
    </format>
    <format dxfId="92">
      <pivotArea field="7" type="button" dataOnly="0" labelOnly="1" outline="0" axis="axisRow" fieldPosition="1"/>
    </format>
    <format dxfId="91">
      <pivotArea dataOnly="0" labelOnly="1" fieldPosition="0">
        <references count="1">
          <reference field="7" count="0"/>
        </references>
      </pivotArea>
    </format>
    <format dxfId="90">
      <pivotArea dataOnly="0" labelOnly="1" grandRow="1" outline="0" fieldPosition="0"/>
    </format>
    <format dxfId="89">
      <pivotArea dataOnly="0" labelOnly="1" fieldPosition="0">
        <references count="1">
          <reference field="6" count="0"/>
        </references>
      </pivotArea>
    </format>
    <format dxfId="88">
      <pivotArea field="6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87">
      <pivotArea field="6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86">
      <pivotArea field="6" dataOnly="0" labelOnly="1" grandRow="1" outline="0" axis="axisRow" fieldPosition="0">
        <references count="1">
          <reference field="4294967294" count="1" selected="0">
            <x v="2"/>
          </reference>
        </references>
      </pivotArea>
    </format>
    <format dxfId="85">
      <pivotArea field="6" dataOnly="0" labelOnly="1" grandRow="1" outline="0" axis="axisRow" fieldPosition="0">
        <references count="1">
          <reference field="4294967294" count="1" selected="0">
            <x v="3"/>
          </reference>
        </references>
      </pivotArea>
    </format>
    <format dxfId="84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6" count="1" selected="0">
            <x v="0"/>
          </reference>
        </references>
      </pivotArea>
    </format>
    <format dxfId="83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6" count="1" selected="0">
            <x v="1"/>
          </reference>
        </references>
      </pivotArea>
    </format>
    <format dxfId="82">
      <pivotArea outline="0"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6" count="1" selected="0">
            <x v="0"/>
          </reference>
        </references>
      </pivotArea>
    </format>
    <format dxfId="81">
      <pivotArea type="origin" dataOnly="0" labelOnly="1" outline="0" offset="A2" fieldPosition="0"/>
    </format>
    <format dxfId="80">
      <pivotArea field="7" type="button" dataOnly="0" labelOnly="1" outline="0" axis="axisRow" fieldPosition="1"/>
    </format>
    <format dxfId="79">
      <pivotArea dataOnly="0" labelOnly="1" fieldPosition="0">
        <references count="1">
          <reference field="7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6" count="1">
            <x v="0"/>
          </reference>
        </references>
      </pivotArea>
    </format>
    <format dxfId="76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6" count="1" selected="0">
            <x v="0"/>
          </reference>
        </references>
      </pivotArea>
    </format>
    <format dxfId="75">
      <pivotArea outline="0" collapsedLevelsAreSubtotals="1" fieldPosition="0">
        <references count="2">
          <reference field="4294967294" count="4" selected="0">
            <x v="0"/>
            <x v="1"/>
            <x v="2"/>
            <x v="3"/>
          </reference>
          <reference field="6" count="1" selected="0">
            <x v="1"/>
          </reference>
        </references>
      </pivotArea>
    </format>
    <format dxfId="74">
      <pivotArea dataOnly="0" labelOnly="1" fieldPosition="0">
        <references count="1">
          <reference field="6" count="1">
            <x v="1"/>
          </reference>
        </references>
      </pivotArea>
    </format>
    <format dxfId="73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6" count="1" selected="0">
            <x v="1"/>
          </reference>
        </references>
      </pivotArea>
    </format>
    <format dxfId="72">
      <pivotArea field="6" grandRow="1" outline="0" collapsedLevelsAreSubtotals="1" axis="axisRow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71">
      <pivotArea field="6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70">
      <pivotArea field="6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69">
      <pivotArea field="6" dataOnly="0" labelOnly="1" grandRow="1" outline="0" axis="axisRow" fieldPosition="0">
        <references count="1">
          <reference field="4294967294" count="1" selected="0">
            <x v="2"/>
          </reference>
        </references>
      </pivotArea>
    </format>
    <format dxfId="68">
      <pivotArea field="6" dataOnly="0" labelOnly="1" grandRow="1" outline="0" axis="axisRow" fieldPosition="0">
        <references count="1">
          <reference field="4294967294" count="1" selected="0">
            <x v="3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6" type="button" dataOnly="0" labelOnly="1" outline="0" axis="axisRow" fieldPosition="0"/>
    </format>
    <format dxfId="63">
      <pivotArea field="-2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7" type="button" dataOnly="0" labelOnly="1" outline="0" axis="axisRow" fieldPosition="1"/>
    </format>
    <format dxfId="60">
      <pivotArea dataOnly="0" labelOnly="1" fieldPosition="0">
        <references count="1">
          <reference field="7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6" count="0"/>
        </references>
      </pivotArea>
    </format>
    <format dxfId="57">
      <pivotArea field="6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56">
      <pivotArea field="6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55">
      <pivotArea field="6" dataOnly="0" labelOnly="1" grandRow="1" outline="0" axis="axisRow" fieldPosition="0">
        <references count="1">
          <reference field="4294967294" count="1" selected="0">
            <x v="2"/>
          </reference>
        </references>
      </pivotArea>
    </format>
    <format dxfId="54">
      <pivotArea field="6" dataOnly="0" labelOnly="1" grandRow="1" outline="0" axis="axisRow" fieldPosition="0">
        <references count="1">
          <reference field="4294967294" count="1" selected="0">
            <x v="3"/>
          </reference>
        </references>
      </pivotArea>
    </format>
    <format dxfId="53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6" count="1" selected="0">
            <x v="0"/>
          </reference>
        </references>
      </pivotArea>
    </format>
    <format dxfId="52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6" count="1" selected="0">
            <x v="1"/>
          </reference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6" type="button" dataOnly="0" labelOnly="1" outline="0" axis="axisRow" fieldPosition="0"/>
    </format>
    <format dxfId="48">
      <pivotArea dataOnly="0" labelOnly="1" fieldPosition="0">
        <references count="1">
          <reference field="6" count="0"/>
        </references>
      </pivotArea>
    </format>
    <format dxfId="47">
      <pivotArea dataOnly="0" labelOnly="1" grandRow="1" outline="0" fieldPosition="0"/>
    </format>
    <format dxfId="46">
      <pivotArea dataOnly="0" labelOnly="1" fieldPosition="0">
        <references count="2">
          <reference field="6" count="1" selected="0">
            <x v="0"/>
          </reference>
          <reference field="7" count="0"/>
        </references>
      </pivotArea>
    </format>
    <format dxfId="45">
      <pivotArea dataOnly="0" labelOnly="1" fieldPosition="0">
        <references count="2">
          <reference field="6" count="1" selected="0">
            <x v="1"/>
          </reference>
          <reference field="7" count="2">
            <x v="0"/>
            <x v="1"/>
          </reference>
        </references>
      </pivotArea>
    </format>
    <format dxfId="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3">
      <pivotArea field="6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3"/>
          </reference>
          <reference field="6" count="1">
            <x v="0"/>
          </reference>
        </references>
      </pivotArea>
    </format>
    <format dxfId="40">
      <pivotArea collapsedLevelsAreSubtotals="1" fieldPosition="0">
        <references count="3">
          <reference field="4294967294" count="1" selected="0">
            <x v="3"/>
          </reference>
          <reference field="6" count="1" selected="0">
            <x v="0"/>
          </reference>
          <reference field="7" count="0"/>
        </references>
      </pivotArea>
    </format>
  </formats>
  <conditionalFormats count="4">
    <conditionalFormat priority="6">
      <pivotAreas count="4"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0"/>
            </reference>
            <reference field="7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6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6" count="1" selected="0">
              <x v="1"/>
            </reference>
            <reference field="7" count="2">
              <x v="0"/>
              <x v="1"/>
            </reference>
          </references>
        </pivotArea>
      </pivotAreas>
    </conditionalFormat>
    <conditionalFormat priority="5">
      <pivotAreas count="4">
        <pivotArea type="data" collapsedLevelsAreSubtotals="1" fieldPosition="0">
          <references count="2">
            <reference field="4294967294" count="2" selected="0">
              <x v="1"/>
              <x v="2"/>
            </reference>
            <reference field="6" count="1">
              <x v="0"/>
            </reference>
          </references>
        </pivotArea>
        <pivotArea type="data" collapsedLevelsAreSubtotals="1" fieldPosition="0">
          <references count="3">
            <reference field="4294967294" count="2" selected="0">
              <x v="1"/>
              <x v="2"/>
            </reference>
            <reference field="6" count="1" selected="0">
              <x v="0"/>
            </reference>
            <reference field="7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2">
            <reference field="4294967294" count="2" selected="0">
              <x v="1"/>
              <x v="2"/>
            </reference>
            <reference field="6" count="1">
              <x v="1"/>
            </reference>
          </references>
        </pivotArea>
        <pivotArea type="data" collapsedLevelsAreSubtotals="1" fieldPosition="0">
          <references count="3">
            <reference field="4294967294" count="2" selected="0">
              <x v="1"/>
              <x v="2"/>
            </reference>
            <reference field="6" count="1" selected="0">
              <x v="1"/>
            </reference>
            <reference field="7" count="2">
              <x v="0"/>
              <x v="1"/>
            </reference>
          </references>
        </pivotArea>
      </pivotAreas>
    </conditionalFormat>
    <conditionalFormat priority="3">
      <pivotAreas count="2"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1"/>
            </reference>
            <reference field="7" count="2">
              <x v="0"/>
              <x v="1"/>
            </reference>
          </references>
        </pivotArea>
      </pivotAreas>
    </conditionalFormat>
    <conditionalFormat priority="1">
      <pivotAreas count="2">
        <pivotArea type="data" collapsedLevelsAreSubtotals="1" fieldPosition="0">
          <references count="2">
            <reference field="4294967294" count="1" selected="0">
              <x v="3"/>
            </reference>
            <reference field="6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3"/>
            </reference>
            <reference field="6" count="1" selected="0">
              <x v="0"/>
            </reference>
            <reference field="7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A3147-1EFE-49D0-9813-7DE347D1378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4" firstHeaderRow="0" firstDataRow="1" firstDataCol="1"/>
  <pivotFields count="8">
    <pivotField showAll="0"/>
    <pivotField showAll="0"/>
    <pivotField axis="axisRow" multipleItemSelectionAllowed="1" showAll="0">
      <items count="7">
        <item x="0"/>
        <item x="2"/>
        <item x="4"/>
        <item x="3"/>
        <item x="1"/>
        <item x="5"/>
        <item t="default"/>
      </items>
    </pivotField>
    <pivotField dataField="1" showAll="0"/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/>
  </pivotFields>
  <rowFields count="2">
    <field x="6"/>
    <field x="2"/>
  </rowFields>
  <rowItems count="11">
    <i>
      <x/>
    </i>
    <i r="1">
      <x/>
    </i>
    <i r="1">
      <x v="1"/>
    </i>
    <i r="1">
      <x v="2"/>
    </i>
    <i r="1">
      <x v="4"/>
    </i>
    <i>
      <x v="1"/>
    </i>
    <i r="1">
      <x/>
    </i>
    <i r="1">
      <x v="3"/>
    </i>
    <i r="1">
      <x v="4"/>
    </i>
    <i r="1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ystemQty" fld="4" baseField="0" baseItem="0"/>
    <dataField name="Sum of SnapshotQty" fld="3" baseField="0" baseItem="0"/>
    <dataField name="Sum of Difference" fld="5" baseField="0" baseItem="0"/>
  </dataFields>
  <formats count="22">
    <format dxfId="39">
      <pivotArea outline="0" collapsedLevelsAreSubtotals="1" fieldPosition="0"/>
    </format>
    <format dxfId="38">
      <pivotArea collapsedLevelsAreSubtotals="1" fieldPosition="0">
        <references count="1">
          <reference field="6" count="1">
            <x v="1"/>
          </reference>
        </references>
      </pivotArea>
    </format>
    <format dxfId="37">
      <pivotArea dataOnly="0" labelOnly="1" fieldPosition="0">
        <references count="1">
          <reference field="6" count="1">
            <x v="1"/>
          </reference>
        </references>
      </pivotArea>
    </format>
    <format dxfId="36">
      <pivotArea collapsedLevelsAreSubtotals="1" fieldPosition="0">
        <references count="1">
          <reference field="6" count="1">
            <x v="1"/>
          </reference>
        </references>
      </pivotArea>
    </format>
    <format dxfId="35">
      <pivotArea dataOnly="0" labelOnly="1" fieldPosition="0">
        <references count="1">
          <reference field="6" count="1">
            <x v="1"/>
          </reference>
        </references>
      </pivotArea>
    </format>
    <format dxfId="34">
      <pivotArea collapsedLevelsAreSubtotals="1" fieldPosition="0">
        <references count="1">
          <reference field="6" count="1">
            <x v="1"/>
          </reference>
        </references>
      </pivotArea>
    </format>
    <format dxfId="33">
      <pivotArea dataOnly="0" labelOnly="1" fieldPosition="0">
        <references count="1">
          <reference field="6" count="1">
            <x v="1"/>
          </reference>
        </references>
      </pivotArea>
    </format>
    <format dxfId="32">
      <pivotArea dataOnly="0" fieldPosition="0">
        <references count="1">
          <reference field="6" count="1">
            <x v="0"/>
          </reference>
        </references>
      </pivotArea>
    </format>
    <format dxfId="31">
      <pivotArea dataOnly="0" fieldPosition="0">
        <references count="1">
          <reference field="6" count="1">
            <x v="0"/>
          </reference>
        </references>
      </pivotArea>
    </format>
    <format dxfId="30">
      <pivotArea dataOnly="0" fieldPosition="0">
        <references count="1">
          <reference field="6" count="1">
            <x v="0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6" type="button" dataOnly="0" labelOnly="1" outline="0" axis="axisRow" fieldPosition="0"/>
    </format>
    <format dxfId="26">
      <pivotArea dataOnly="0" labelOnly="1" fieldPosition="0">
        <references count="1">
          <reference field="6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6" type="button" dataOnly="0" labelOnly="1" outline="0" axis="axisRow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6E0CF-96F8-4D64-8FA1-9C46D696C48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2">
  <location ref="A3:D10" firstHeaderRow="0" firstDataRow="1" firstDataCol="1"/>
  <pivotFields count="8">
    <pivotField showAll="0"/>
    <pivotField axis="axisRow" showAll="0">
      <items count="10">
        <item x="5"/>
        <item x="6"/>
        <item x="4"/>
        <item x="0"/>
        <item x="7"/>
        <item x="8"/>
        <item x="2"/>
        <item x="1"/>
        <item x="3"/>
        <item t="default"/>
      </items>
    </pivotField>
    <pivotField axis="axisRow" showAll="0" defaultSubtotal="0">
      <items count="6">
        <item sd="0" x="0"/>
        <item sd="0" x="2"/>
        <item sd="0" x="4"/>
        <item sd="0" x="3"/>
        <item sd="0" x="1"/>
        <item sd="0" x="5"/>
      </items>
    </pivotField>
    <pivotField dataField="1" showAll="0"/>
    <pivotField dataField="1" showAll="0"/>
    <pivotField dataField="1" showAll="0"/>
    <pivotField showAll="0"/>
    <pivotField showAll="0"/>
  </pivotFields>
  <rowFields count="2">
    <field x="2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hysical Qty" fld="3" baseField="2" baseItem="0"/>
    <dataField name="System Qty" fld="4" baseField="2" baseItem="0"/>
    <dataField name="Variance" fld="5" baseField="2" baseItem="0"/>
  </dataFields>
  <chartFormats count="15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4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4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4" format="19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55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5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5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5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5" format="25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86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6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6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6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6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6" format="2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86" format="28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86" format="29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86" format="30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86" format="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6" format="32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86" format="33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86" format="34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86" format="35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86" format="36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86" format="37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87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7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7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7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7" format="4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7" format="4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87" format="44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87" format="45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87" format="46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87" format="4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7" format="48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87" format="49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87" format="50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87" format="51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87" format="52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87" format="53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9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5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5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5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5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5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5" format="2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95" format="28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95" format="29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95" format="30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95" format="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5" format="32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95" format="33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95" format="34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95" format="35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95" format="36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95" format="37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96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6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6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6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6" format="4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6" format="4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96" format="44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96" format="45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96" format="46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96" format="4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6" format="48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96" format="49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96" format="50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96" format="51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96" format="52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96" format="53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98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8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8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8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8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8" format="2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98" format="28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98" format="29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98" format="30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98" format="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8" format="32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98" format="33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98" format="34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98" format="35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98" format="36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98" format="37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99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9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9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9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9" format="4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9" format="43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99" format="44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99" format="45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99" format="46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99" format="4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9" format="48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99" format="49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99" format="50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99" format="51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99" format="52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99" format="53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  <chartFormat chart="10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1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1" format="2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01" format="28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01" format="29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01" format="30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101" format="3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1" format="32">
      <pivotArea type="data" outline="0" fieldPosition="0">
        <references count="2">
          <reference field="4294967294" count="1" selected="0">
            <x v="2"/>
          </reference>
          <reference field="2" count="1" selected="0">
            <x v="0"/>
          </reference>
        </references>
      </pivotArea>
    </chartFormat>
    <chartFormat chart="101" format="33">
      <pivotArea type="data" outline="0" fieldPosition="0">
        <references count="2">
          <reference field="4294967294" count="1" selected="0">
            <x v="2"/>
          </reference>
          <reference field="2" count="1" selected="0">
            <x v="1"/>
          </reference>
        </references>
      </pivotArea>
    </chartFormat>
    <chartFormat chart="101" format="34">
      <pivotArea type="data" outline="0" fieldPosition="0">
        <references count="2">
          <reference field="4294967294" count="1" selected="0">
            <x v="2"/>
          </reference>
          <reference field="2" count="1" selected="0">
            <x v="2"/>
          </reference>
        </references>
      </pivotArea>
    </chartFormat>
    <chartFormat chart="101" format="35">
      <pivotArea type="data" outline="0" fieldPosition="0">
        <references count="2">
          <reference field="4294967294" count="1" selected="0">
            <x v="2"/>
          </reference>
          <reference field="2" count="1" selected="0">
            <x v="3"/>
          </reference>
        </references>
      </pivotArea>
    </chartFormat>
    <chartFormat chart="101" format="36">
      <pivotArea type="data" outline="0" fieldPosition="0">
        <references count="2">
          <reference field="4294967294" count="1" selected="0">
            <x v="2"/>
          </reference>
          <reference field="2" count="1" selected="0">
            <x v="4"/>
          </reference>
        </references>
      </pivotArea>
    </chartFormat>
    <chartFormat chart="101" format="37">
      <pivotArea type="data" outline="0" fieldPosition="0">
        <references count="2">
          <reference field="4294967294" count="1" selected="0">
            <x v="2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9DBFB3C-9404-4F34-A9D6-B06E480D165E}" autoFormatId="16" applyNumberFormats="0" applyBorderFormats="0" applyFontFormats="0" applyPatternFormats="0" applyAlignmentFormats="0" applyWidthHeightFormats="0">
  <queryTableRefresh nextId="9">
    <queryTableFields count="8">
      <queryTableField id="1" name="ItemID" tableColumnId="1"/>
      <queryTableField id="2" name="ItemName" tableColumnId="2"/>
      <queryTableField id="3" name="Category" tableColumnId="3"/>
      <queryTableField id="4" name="SnapshotQty" tableColumnId="4"/>
      <queryTableField id="5" name="SystemQty" tableColumnId="5"/>
      <queryTableField id="6" name="Difference" tableColumnId="6"/>
      <queryTableField id="8" dataBound="0" tableColumnId="8"/>
      <queryTableField id="7" name="Unit" tableColumnId="7"/>
    </queryTableFields>
  </queryTableRefresh>
  <extLst>
    <ext xmlns:x15="http://schemas.microsoft.com/office/spreadsheetml/2010/11/main" uri="{883FBD77-0823-4a55-B5E3-86C4891E6966}">
      <x15:queryTable sourceDataName="Query - Fact_Inventory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1E20649B-F329-4261-A517-A9798C07AD8B}" autoFormatId="16" applyNumberFormats="0" applyBorderFormats="0" applyFontFormats="0" applyPatternFormats="0" applyAlignmentFormats="0" applyWidthHeightFormats="0">
  <queryTableRefresh nextId="9">
    <queryTableFields count="8">
      <queryTableField id="1" name="ItemID" tableColumnId="1"/>
      <queryTableField id="2" name="ItemName" tableColumnId="2"/>
      <queryTableField id="3" name="Category" tableColumnId="3"/>
      <queryTableField id="4" name="SnapshotQty" tableColumnId="4"/>
      <queryTableField id="5" name="SystemQty" tableColumnId="5"/>
      <queryTableField id="6" name="Difference" tableColumnId="6"/>
      <queryTableField id="8" dataBound="0" tableColumnId="8"/>
      <queryTableField id="7" name="Unit" tableColumnId="7"/>
    </queryTableFields>
  </queryTableRefresh>
  <extLst>
    <ext xmlns:x15="http://schemas.microsoft.com/office/spreadsheetml/2010/11/main" uri="{883FBD77-0823-4a55-B5E3-86C4891E6966}">
      <x15:queryTable sourceDataName="Query - Fact_Inventory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283A5-A3A0-4FC8-8524-AFAB326AD121}" name="Fact_Inventory" displayName="Fact_Inventory" ref="A1:H10" tableType="queryTable" totalsRowShown="0" headerRowDxfId="156" dataDxfId="155">
  <autoFilter ref="A1:H10" xr:uid="{CE7283A5-A3A0-4FC8-8524-AFAB326AD121}"/>
  <tableColumns count="8">
    <tableColumn id="1" xr3:uid="{24F63819-6B2D-4A2A-8183-DAED95883C15}" uniqueName="1" name="ItemID" queryTableFieldId="1" dataDxfId="154"/>
    <tableColumn id="2" xr3:uid="{E2755327-D317-4BEB-9D47-5529383AE26F}" uniqueName="2" name="ItemName" queryTableFieldId="2" dataDxfId="153"/>
    <tableColumn id="3" xr3:uid="{0B4D4253-78DD-4FFC-90A7-D09BFDDEAE5F}" uniqueName="3" name="Category" queryTableFieldId="3" dataDxfId="152"/>
    <tableColumn id="4" xr3:uid="{5AAF7990-93FB-4FB1-8F4A-1C0C7696BFC1}" uniqueName="4" name="SnapshotQty" queryTableFieldId="4" dataDxfId="151"/>
    <tableColumn id="5" xr3:uid="{1C8D1996-5663-45BC-AA21-03EF0A113135}" uniqueName="5" name="SystemQty" queryTableFieldId="5" dataDxfId="150"/>
    <tableColumn id="6" xr3:uid="{25C7A9A0-4FE7-4084-B36C-93EB95155CCF}" uniqueName="6" name="Difference" queryTableFieldId="6" dataDxfId="149"/>
    <tableColumn id="8" xr3:uid="{4DDECA43-FA5D-4C9C-80BE-FC112327E7E4}" uniqueName="8" name="Stock status" queryTableFieldId="8" dataDxfId="148">
      <calculatedColumnFormula>IF(F2=0,"Match",IF(F2&gt;0,"overage","Shortage"))</calculatedColumnFormula>
    </tableColumn>
    <tableColumn id="7" xr3:uid="{63601BF2-C0B0-42E7-A124-9DF06580FED1}" uniqueName="7" name="Unit" queryTableFieldId="7" dataDxfId="14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1C57A5-D4B9-47AE-BE06-759296029F33}" name="Fact_Inventory3" displayName="Fact_Inventory3" ref="A1:H10" tableType="queryTable" totalsRowShown="0" headerRowDxfId="17" dataDxfId="16">
  <autoFilter ref="A1:H10" xr:uid="{531C57A5-D4B9-47AE-BE06-759296029F33}"/>
  <tableColumns count="8">
    <tableColumn id="1" xr3:uid="{E1E3EF65-955A-4CAA-9AF1-87F1980CB955}" uniqueName="1" name="ItemID" queryTableFieldId="1" dataDxfId="15"/>
    <tableColumn id="2" xr3:uid="{E41DD2BE-DDBE-4F0D-8A6A-35C85B960E89}" uniqueName="2" name="ItemName" queryTableFieldId="2" dataDxfId="14"/>
    <tableColumn id="3" xr3:uid="{8DF07F8A-55ED-423B-983D-0F18C0993C29}" uniqueName="3" name="Category" queryTableFieldId="3" dataDxfId="13"/>
    <tableColumn id="4" xr3:uid="{201B7E72-5510-4139-94F4-D084D6334411}" uniqueName="4" name="SnapshotQty" queryTableFieldId="4" dataDxfId="12"/>
    <tableColumn id="5" xr3:uid="{32A9BC4D-607A-4723-B099-AD8B89C9361A}" uniqueName="5" name="SystemQty" queryTableFieldId="5" dataDxfId="11"/>
    <tableColumn id="6" xr3:uid="{A82A538C-1B98-43FB-B712-D07A3B6B3877}" uniqueName="6" name="Difference" queryTableFieldId="6" dataDxfId="10"/>
    <tableColumn id="8" xr3:uid="{719BB39D-068D-469C-AB02-1DF196289B33}" uniqueName="8" name="Stock status" queryTableFieldId="8" dataDxfId="9">
      <calculatedColumnFormula>IF(F2=0,"Match",IF(F2&gt;0,"overage","Shortage"))</calculatedColumnFormula>
    </tableColumn>
    <tableColumn id="7" xr3:uid="{B9659F35-301A-474D-A5DE-8813AC6B4FF4}" uniqueName="7" name="Unit" queryTableFieldId="7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G2" sqref="G2"/>
    </sheetView>
  </sheetViews>
  <sheetFormatPr defaultRowHeight="15" x14ac:dyDescent="0.25"/>
  <cols>
    <col min="1" max="1" width="14.42578125" bestFit="1" customWidth="1"/>
    <col min="2" max="2" width="28.28515625" bestFit="1" customWidth="1"/>
    <col min="3" max="3" width="17.85546875" bestFit="1" customWidth="1"/>
    <col min="4" max="4" width="21.7109375" bestFit="1" customWidth="1"/>
    <col min="5" max="5" width="19.42578125" bestFit="1" customWidth="1"/>
    <col min="6" max="6" width="19.140625" bestFit="1" customWidth="1"/>
    <col min="7" max="7" width="20.7109375" bestFit="1" customWidth="1"/>
    <col min="8" max="8" width="11.140625" bestFit="1" customWidth="1"/>
  </cols>
  <sheetData>
    <row r="1" spans="1:8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</v>
      </c>
      <c r="H1" s="1" t="s">
        <v>6</v>
      </c>
    </row>
    <row r="2" spans="1:8" ht="21" x14ac:dyDescent="0.35">
      <c r="A2" s="1">
        <v>101</v>
      </c>
      <c r="B2" s="1" t="s">
        <v>7</v>
      </c>
      <c r="C2" s="1" t="s">
        <v>8</v>
      </c>
      <c r="D2" s="1">
        <v>1500</v>
      </c>
      <c r="E2" s="1">
        <v>1500</v>
      </c>
      <c r="F2" s="1">
        <v>0</v>
      </c>
      <c r="G2" s="1" t="str">
        <f t="shared" ref="G2:G10" si="0">IF(F2=0,"Match",IF(F2&gt;0,"overage","Shortage"))</f>
        <v>Match</v>
      </c>
      <c r="H2" s="1" t="s">
        <v>9</v>
      </c>
    </row>
    <row r="3" spans="1:8" ht="21" x14ac:dyDescent="0.35">
      <c r="A3" s="1">
        <v>102</v>
      </c>
      <c r="B3" s="1" t="s">
        <v>10</v>
      </c>
      <c r="C3" s="1" t="s">
        <v>11</v>
      </c>
      <c r="D3" s="1">
        <v>1000</v>
      </c>
      <c r="E3" s="1">
        <v>1000</v>
      </c>
      <c r="F3" s="1">
        <v>0</v>
      </c>
      <c r="G3" s="1" t="str">
        <f t="shared" si="0"/>
        <v>Match</v>
      </c>
      <c r="H3" s="1" t="s">
        <v>9</v>
      </c>
    </row>
    <row r="4" spans="1:8" ht="21" x14ac:dyDescent="0.35">
      <c r="A4" s="1">
        <v>103</v>
      </c>
      <c r="B4" s="1" t="s">
        <v>12</v>
      </c>
      <c r="C4" s="1" t="s">
        <v>11</v>
      </c>
      <c r="D4" s="1">
        <v>700</v>
      </c>
      <c r="E4" s="1">
        <v>-300</v>
      </c>
      <c r="F4" s="1">
        <v>1000</v>
      </c>
      <c r="G4" s="1" t="str">
        <f t="shared" si="0"/>
        <v>overage</v>
      </c>
      <c r="H4" s="1" t="s">
        <v>13</v>
      </c>
    </row>
    <row r="5" spans="1:8" ht="21" x14ac:dyDescent="0.35">
      <c r="A5" s="1">
        <v>104</v>
      </c>
      <c r="B5" s="1" t="s">
        <v>14</v>
      </c>
      <c r="C5" s="1" t="s">
        <v>15</v>
      </c>
      <c r="D5" s="1">
        <v>2000</v>
      </c>
      <c r="E5" s="1">
        <v>2000</v>
      </c>
      <c r="F5" s="1">
        <v>0</v>
      </c>
      <c r="G5" s="1" t="str">
        <f t="shared" si="0"/>
        <v>Match</v>
      </c>
      <c r="H5" s="1" t="s">
        <v>13</v>
      </c>
    </row>
    <row r="6" spans="1:8" ht="21" x14ac:dyDescent="0.35">
      <c r="A6" s="1">
        <v>105</v>
      </c>
      <c r="B6" s="1" t="s">
        <v>16</v>
      </c>
      <c r="C6" s="1" t="s">
        <v>17</v>
      </c>
      <c r="D6" s="1">
        <v>8500</v>
      </c>
      <c r="E6" s="1">
        <v>-1500</v>
      </c>
      <c r="F6" s="1">
        <v>10000</v>
      </c>
      <c r="G6" s="1" t="str">
        <f t="shared" si="0"/>
        <v>overage</v>
      </c>
      <c r="H6" s="1" t="s">
        <v>13</v>
      </c>
    </row>
    <row r="7" spans="1:8" ht="21" x14ac:dyDescent="0.35">
      <c r="A7" s="1">
        <v>106</v>
      </c>
      <c r="B7" s="1" t="s">
        <v>18</v>
      </c>
      <c r="C7" s="1" t="s">
        <v>19</v>
      </c>
      <c r="D7" s="1">
        <v>200</v>
      </c>
      <c r="E7" s="1">
        <v>200</v>
      </c>
      <c r="F7" s="1">
        <v>0</v>
      </c>
      <c r="G7" s="1" t="str">
        <f t="shared" si="0"/>
        <v>Match</v>
      </c>
      <c r="H7" s="1" t="s">
        <v>20</v>
      </c>
    </row>
    <row r="8" spans="1:8" ht="21" x14ac:dyDescent="0.35">
      <c r="A8" s="1">
        <v>107</v>
      </c>
      <c r="B8" s="1" t="s">
        <v>21</v>
      </c>
      <c r="C8" s="1" t="s">
        <v>8</v>
      </c>
      <c r="D8" s="1">
        <v>50</v>
      </c>
      <c r="E8" s="1">
        <v>-50</v>
      </c>
      <c r="F8" s="1">
        <v>100</v>
      </c>
      <c r="G8" s="1" t="str">
        <f t="shared" si="0"/>
        <v>overage</v>
      </c>
      <c r="H8" s="1" t="s">
        <v>9</v>
      </c>
    </row>
    <row r="9" spans="1:8" ht="21" x14ac:dyDescent="0.35">
      <c r="A9" s="1">
        <v>108</v>
      </c>
      <c r="B9" s="1" t="s">
        <v>22</v>
      </c>
      <c r="C9" s="1" t="s">
        <v>15</v>
      </c>
      <c r="D9" s="1">
        <v>100</v>
      </c>
      <c r="E9" s="1">
        <v>100</v>
      </c>
      <c r="F9" s="1">
        <v>0</v>
      </c>
      <c r="G9" s="1" t="str">
        <f t="shared" si="0"/>
        <v>Match</v>
      </c>
      <c r="H9" s="1" t="s">
        <v>23</v>
      </c>
    </row>
    <row r="10" spans="1:8" ht="21" x14ac:dyDescent="0.35">
      <c r="A10" s="1">
        <v>109</v>
      </c>
      <c r="B10" s="1" t="s">
        <v>24</v>
      </c>
      <c r="C10" s="1" t="s">
        <v>25</v>
      </c>
      <c r="D10" s="1">
        <v>3</v>
      </c>
      <c r="E10" s="1">
        <v>-2</v>
      </c>
      <c r="F10" s="1">
        <v>5</v>
      </c>
      <c r="G10" s="1" t="str">
        <f t="shared" si="0"/>
        <v>overage</v>
      </c>
      <c r="H10" s="1" t="s">
        <v>13</v>
      </c>
    </row>
  </sheetData>
  <conditionalFormatting sqref="G1:G1048576">
    <cfRule type="containsText" dxfId="7" priority="1" operator="containsText" text="over">
      <formula>NOT(ISERROR(SEARCH("over",G1)))</formula>
    </cfRule>
    <cfRule type="containsText" dxfId="6" priority="2" operator="containsText" text="Ma">
      <formula>NOT(ISERROR(SEARCH("Ma",G1)))</formula>
    </cfRule>
    <cfRule type="containsText" dxfId="5" priority="3" operator="containsText" text="&quot;overage&quot;">
      <formula>NOT(ISERROR(SEARCH("""overage""",G1)))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6209-52CA-4253-B66C-19755F4874DE}">
  <dimension ref="A3:E6"/>
  <sheetViews>
    <sheetView workbookViewId="0">
      <selection activeCell="D18" sqref="D18"/>
    </sheetView>
  </sheetViews>
  <sheetFormatPr defaultRowHeight="15" x14ac:dyDescent="0.25"/>
  <cols>
    <col min="1" max="1" width="15.42578125" style="3" bestFit="1" customWidth="1"/>
    <col min="2" max="2" width="15.140625" style="3" bestFit="1" customWidth="1"/>
    <col min="3" max="3" width="19.140625" style="3" bestFit="1" customWidth="1"/>
    <col min="4" max="4" width="17.42578125" style="3" bestFit="1" customWidth="1"/>
    <col min="5" max="5" width="17.28515625" style="3" bestFit="1" customWidth="1"/>
    <col min="6" max="6" width="9.85546875" style="3" bestFit="1" customWidth="1"/>
    <col min="7" max="7" width="5.7109375" style="3" bestFit="1" customWidth="1"/>
    <col min="8" max="8" width="19.140625" style="3" bestFit="1" customWidth="1"/>
    <col min="9" max="9" width="11" style="3" bestFit="1" customWidth="1"/>
    <col min="10" max="10" width="12.85546875" style="3" bestFit="1" customWidth="1"/>
    <col min="11" max="11" width="9.5703125" style="3" bestFit="1" customWidth="1"/>
    <col min="12" max="12" width="9.85546875" style="3" bestFit="1" customWidth="1"/>
    <col min="13" max="13" width="5.7109375" style="3" bestFit="1" customWidth="1"/>
    <col min="14" max="14" width="17.42578125" style="3" bestFit="1" customWidth="1"/>
    <col min="15" max="15" width="11" style="3" bestFit="1" customWidth="1"/>
    <col min="16" max="16" width="12.85546875" style="3" bestFit="1" customWidth="1"/>
    <col min="17" max="17" width="9.5703125" style="3" bestFit="1" customWidth="1"/>
    <col min="18" max="18" width="9.85546875" style="3" bestFit="1" customWidth="1"/>
    <col min="19" max="19" width="5.7109375" style="3" bestFit="1" customWidth="1"/>
    <col min="20" max="20" width="17.28515625" style="3" bestFit="1" customWidth="1"/>
    <col min="21" max="21" width="11" style="3" bestFit="1" customWidth="1"/>
    <col min="22" max="22" width="12.85546875" style="3" bestFit="1" customWidth="1"/>
    <col min="23" max="23" width="9.5703125" style="3" bestFit="1" customWidth="1"/>
    <col min="24" max="24" width="9.85546875" style="3" bestFit="1" customWidth="1"/>
    <col min="25" max="25" width="5.7109375" style="3" bestFit="1" customWidth="1"/>
    <col min="26" max="26" width="20.140625" style="3" bestFit="1" customWidth="1"/>
    <col min="27" max="27" width="24.140625" style="3" bestFit="1" customWidth="1"/>
    <col min="28" max="28" width="22.42578125" style="3" bestFit="1" customWidth="1"/>
    <col min="29" max="29" width="22.28515625" style="3" bestFit="1" customWidth="1"/>
    <col min="30" max="16384" width="9.140625" style="3"/>
  </cols>
  <sheetData>
    <row r="3" spans="1:5" x14ac:dyDescent="0.25">
      <c r="A3" s="2" t="s">
        <v>27</v>
      </c>
      <c r="B3" s="3" t="s">
        <v>32</v>
      </c>
      <c r="C3" s="3" t="s">
        <v>31</v>
      </c>
      <c r="D3" s="3" t="s">
        <v>33</v>
      </c>
      <c r="E3" s="3" t="s">
        <v>34</v>
      </c>
    </row>
    <row r="4" spans="1:5" ht="15.75" x14ac:dyDescent="0.25">
      <c r="A4" s="4" t="s">
        <v>28</v>
      </c>
      <c r="B4" s="4">
        <v>5</v>
      </c>
      <c r="C4" s="4">
        <v>4800</v>
      </c>
      <c r="D4" s="4">
        <v>4800</v>
      </c>
      <c r="E4" s="4">
        <v>0</v>
      </c>
    </row>
    <row r="5" spans="1:5" ht="15.75" x14ac:dyDescent="0.25">
      <c r="A5" s="5" t="s">
        <v>29</v>
      </c>
      <c r="B5" s="5">
        <v>4</v>
      </c>
      <c r="C5" s="5">
        <v>9253</v>
      </c>
      <c r="D5" s="5">
        <v>-1852</v>
      </c>
      <c r="E5" s="5">
        <v>11105</v>
      </c>
    </row>
    <row r="6" spans="1:5" x14ac:dyDescent="0.25">
      <c r="A6" s="3" t="s">
        <v>30</v>
      </c>
      <c r="B6" s="3">
        <v>9</v>
      </c>
      <c r="C6" s="3">
        <v>14053</v>
      </c>
      <c r="D6" s="3">
        <v>2948</v>
      </c>
      <c r="E6" s="3">
        <v>11105</v>
      </c>
    </row>
  </sheetData>
  <conditionalFormatting sqref="A5">
    <cfRule type="containsText" dxfId="4" priority="1" operator="containsText" text="ov">
      <formula>NOT(ISERROR(SEARCH("ov",A5)))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0FEA-8EDE-4CE7-8AD9-BA1083087BC5}">
  <dimension ref="A1:E12"/>
  <sheetViews>
    <sheetView topLeftCell="A2" workbookViewId="0">
      <selection activeCell="E9" sqref="E9"/>
    </sheetView>
  </sheetViews>
  <sheetFormatPr defaultRowHeight="15" x14ac:dyDescent="0.25"/>
  <cols>
    <col min="1" max="1" width="20" bestFit="1" customWidth="1"/>
    <col min="2" max="2" width="21.42578125" bestFit="1" customWidth="1"/>
    <col min="3" max="3" width="27" bestFit="1" customWidth="1"/>
    <col min="4" max="4" width="24.5703125" bestFit="1" customWidth="1"/>
    <col min="5" max="5" width="24.28515625" bestFit="1" customWidth="1"/>
    <col min="6" max="8" width="21.5703125" bestFit="1" customWidth="1"/>
    <col min="9" max="9" width="22.42578125" bestFit="1" customWidth="1"/>
    <col min="10" max="10" width="27.28515625" bestFit="1" customWidth="1"/>
    <col min="11" max="11" width="25" bestFit="1" customWidth="1"/>
    <col min="12" max="12" width="24.42578125" bestFit="1" customWidth="1"/>
    <col min="13" max="13" width="22.28515625" bestFit="1" customWidth="1"/>
  </cols>
  <sheetData>
    <row r="1" spans="1:5" ht="15.75" thickBot="1" x14ac:dyDescent="0.3"/>
    <row r="3" spans="1:5" ht="21.75" thickBot="1" x14ac:dyDescent="0.3">
      <c r="A3" s="11" t="s">
        <v>27</v>
      </c>
      <c r="B3" s="12" t="s">
        <v>32</v>
      </c>
      <c r="C3" s="12" t="s">
        <v>31</v>
      </c>
      <c r="D3" s="12" t="s">
        <v>33</v>
      </c>
      <c r="E3" s="12" t="s">
        <v>34</v>
      </c>
    </row>
    <row r="4" spans="1:5" ht="21.75" thickBot="1" x14ac:dyDescent="0.3">
      <c r="A4" s="16" t="s">
        <v>28</v>
      </c>
      <c r="B4" s="17">
        <v>5</v>
      </c>
      <c r="C4" s="18">
        <v>4800</v>
      </c>
      <c r="D4" s="18">
        <v>4800</v>
      </c>
      <c r="E4" s="19">
        <v>0</v>
      </c>
    </row>
    <row r="5" spans="1:5" ht="21" x14ac:dyDescent="0.25">
      <c r="A5" s="7" t="s">
        <v>9</v>
      </c>
      <c r="B5" s="20">
        <v>2</v>
      </c>
      <c r="C5" s="21">
        <v>2500</v>
      </c>
      <c r="D5" s="21">
        <v>2500</v>
      </c>
      <c r="E5" s="22">
        <v>0</v>
      </c>
    </row>
    <row r="6" spans="1:5" ht="21" x14ac:dyDescent="0.25">
      <c r="A6" s="8" t="s">
        <v>13</v>
      </c>
      <c r="B6" s="20">
        <v>1</v>
      </c>
      <c r="C6" s="21">
        <v>2000</v>
      </c>
      <c r="D6" s="21">
        <v>2000</v>
      </c>
      <c r="E6" s="22">
        <v>0</v>
      </c>
    </row>
    <row r="7" spans="1:5" ht="21" x14ac:dyDescent="0.25">
      <c r="A7" s="8" t="s">
        <v>20</v>
      </c>
      <c r="B7" s="20">
        <v>1</v>
      </c>
      <c r="C7" s="21">
        <v>200</v>
      </c>
      <c r="D7" s="21">
        <v>200</v>
      </c>
      <c r="E7" s="22">
        <v>0</v>
      </c>
    </row>
    <row r="8" spans="1:5" ht="21.75" thickBot="1" x14ac:dyDescent="0.3">
      <c r="A8" s="9" t="s">
        <v>23</v>
      </c>
      <c r="B8" s="20">
        <v>1</v>
      </c>
      <c r="C8" s="21">
        <v>100</v>
      </c>
      <c r="D8" s="21">
        <v>100</v>
      </c>
      <c r="E8" s="22">
        <v>0</v>
      </c>
    </row>
    <row r="9" spans="1:5" ht="21.75" thickBot="1" x14ac:dyDescent="0.3">
      <c r="A9" s="10" t="s">
        <v>29</v>
      </c>
      <c r="B9" s="17">
        <v>4</v>
      </c>
      <c r="C9" s="18">
        <v>9253</v>
      </c>
      <c r="D9" s="18">
        <v>-1852</v>
      </c>
      <c r="E9" s="19">
        <v>11105</v>
      </c>
    </row>
    <row r="10" spans="1:5" ht="21" x14ac:dyDescent="0.25">
      <c r="A10" s="7" t="s">
        <v>9</v>
      </c>
      <c r="B10" s="20">
        <v>1</v>
      </c>
      <c r="C10" s="21">
        <v>50</v>
      </c>
      <c r="D10" s="21">
        <v>-50</v>
      </c>
      <c r="E10" s="22">
        <v>100</v>
      </c>
    </row>
    <row r="11" spans="1:5" ht="21.75" thickBot="1" x14ac:dyDescent="0.3">
      <c r="A11" s="9" t="s">
        <v>13</v>
      </c>
      <c r="B11" s="20">
        <v>3</v>
      </c>
      <c r="C11" s="21">
        <v>9203</v>
      </c>
      <c r="D11" s="21">
        <v>-1802</v>
      </c>
      <c r="E11" s="22">
        <v>11005</v>
      </c>
    </row>
    <row r="12" spans="1:5" ht="21.75" thickBot="1" x14ac:dyDescent="0.3">
      <c r="A12" s="6" t="s">
        <v>30</v>
      </c>
      <c r="B12" s="17">
        <v>9</v>
      </c>
      <c r="C12" s="18">
        <v>14053</v>
      </c>
      <c r="D12" s="18">
        <v>2948</v>
      </c>
      <c r="E12" s="19">
        <v>11105</v>
      </c>
    </row>
  </sheetData>
  <conditionalFormatting sqref="A3:M3 A7:A10 M6 A4:A5 F4:M5 F7:M10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B5:B8 B4 B9 B10:B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{7B0DA239-8ED9-4FED-BEC6-B08191B63AA5}</x14:id>
        </ext>
      </extLst>
    </cfRule>
  </conditionalFormatting>
  <conditionalFormatting pivot="1" sqref="C4:D4 C5:D8 C9:D9 C10:D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{29C2C855-D1DF-46CB-8CD9-CF2D125043B0}</x14:id>
        </ext>
      </extLst>
    </cfRule>
  </conditionalFormatting>
  <conditionalFormatting pivot="1" sqref="E10:E11 E9">
    <cfRule type="colorScale" priority="3">
      <colorScale>
        <cfvo type="min"/>
        <cfvo type="max"/>
        <color rgb="FFFCFCFF"/>
        <color rgb="FFF8696B"/>
      </colorScale>
    </cfRule>
  </conditionalFormatting>
  <conditionalFormatting pivot="1" sqref="E4 E5:E8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B0DA239-8ED9-4FED-BEC6-B08191B63A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B5:B8 B4 B9 B10:B11</xm:sqref>
        </x14:conditionalFormatting>
        <x14:conditionalFormatting xmlns:xm="http://schemas.microsoft.com/office/excel/2006/main" pivot="1">
          <x14:cfRule type="dataBar" id="{29C2C855-D1DF-46CB-8CD9-CF2D12504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C4:D4 C5:D8 C9:D9 C10:D11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5FB9-92CF-490F-AC13-654CE62C66C7}">
  <dimension ref="A3:D14"/>
  <sheetViews>
    <sheetView workbookViewId="0">
      <selection activeCell="E21" sqref="E21"/>
    </sheetView>
  </sheetViews>
  <sheetFormatPr defaultRowHeight="15" x14ac:dyDescent="0.25"/>
  <cols>
    <col min="1" max="1" width="18" bestFit="1" customWidth="1"/>
    <col min="2" max="2" width="17.42578125" bestFit="1" customWidth="1"/>
    <col min="3" max="3" width="19.140625" bestFit="1" customWidth="1"/>
    <col min="4" max="4" width="17.28515625" bestFit="1" customWidth="1"/>
  </cols>
  <sheetData>
    <row r="3" spans="1:4" x14ac:dyDescent="0.25">
      <c r="A3" s="2" t="s">
        <v>27</v>
      </c>
      <c r="B3" s="3" t="s">
        <v>33</v>
      </c>
      <c r="C3" s="3" t="s">
        <v>31</v>
      </c>
      <c r="D3" s="3" t="s">
        <v>34</v>
      </c>
    </row>
    <row r="4" spans="1:4" ht="15.75" x14ac:dyDescent="0.25">
      <c r="A4" s="4" t="s">
        <v>28</v>
      </c>
      <c r="B4" s="4">
        <v>4800</v>
      </c>
      <c r="C4" s="4">
        <v>4800</v>
      </c>
      <c r="D4" s="4">
        <v>0</v>
      </c>
    </row>
    <row r="5" spans="1:4" x14ac:dyDescent="0.25">
      <c r="A5" s="13" t="s">
        <v>8</v>
      </c>
      <c r="B5" s="3">
        <v>1500</v>
      </c>
      <c r="C5" s="3">
        <v>1500</v>
      </c>
      <c r="D5" s="3">
        <v>0</v>
      </c>
    </row>
    <row r="6" spans="1:4" x14ac:dyDescent="0.25">
      <c r="A6" s="13" t="s">
        <v>15</v>
      </c>
      <c r="B6" s="3">
        <v>2100</v>
      </c>
      <c r="C6" s="3">
        <v>2100</v>
      </c>
      <c r="D6" s="3">
        <v>0</v>
      </c>
    </row>
    <row r="7" spans="1:4" x14ac:dyDescent="0.25">
      <c r="A7" s="13" t="s">
        <v>19</v>
      </c>
      <c r="B7" s="3">
        <v>200</v>
      </c>
      <c r="C7" s="3">
        <v>200</v>
      </c>
      <c r="D7" s="3">
        <v>0</v>
      </c>
    </row>
    <row r="8" spans="1:4" x14ac:dyDescent="0.25">
      <c r="A8" s="13" t="s">
        <v>11</v>
      </c>
      <c r="B8" s="3">
        <v>1000</v>
      </c>
      <c r="C8" s="3">
        <v>1000</v>
      </c>
      <c r="D8" s="3">
        <v>0</v>
      </c>
    </row>
    <row r="9" spans="1:4" ht="15.75" x14ac:dyDescent="0.25">
      <c r="A9" s="5" t="s">
        <v>29</v>
      </c>
      <c r="B9" s="5">
        <v>-1852</v>
      </c>
      <c r="C9" s="5">
        <v>9253</v>
      </c>
      <c r="D9" s="5">
        <v>11105</v>
      </c>
    </row>
    <row r="10" spans="1:4" x14ac:dyDescent="0.25">
      <c r="A10" s="13" t="s">
        <v>8</v>
      </c>
      <c r="B10" s="3">
        <v>-50</v>
      </c>
      <c r="C10" s="3">
        <v>50</v>
      </c>
      <c r="D10" s="3">
        <v>100</v>
      </c>
    </row>
    <row r="11" spans="1:4" x14ac:dyDescent="0.25">
      <c r="A11" s="13" t="s">
        <v>17</v>
      </c>
      <c r="B11" s="3">
        <v>-1500</v>
      </c>
      <c r="C11" s="3">
        <v>8500</v>
      </c>
      <c r="D11" s="3">
        <v>10000</v>
      </c>
    </row>
    <row r="12" spans="1:4" x14ac:dyDescent="0.25">
      <c r="A12" s="13" t="s">
        <v>11</v>
      </c>
      <c r="B12" s="3">
        <v>-300</v>
      </c>
      <c r="C12" s="3">
        <v>700</v>
      </c>
      <c r="D12" s="3">
        <v>1000</v>
      </c>
    </row>
    <row r="13" spans="1:4" x14ac:dyDescent="0.25">
      <c r="A13" s="13" t="s">
        <v>25</v>
      </c>
      <c r="B13" s="3">
        <v>-2</v>
      </c>
      <c r="C13" s="3">
        <v>3</v>
      </c>
      <c r="D13" s="3">
        <v>5</v>
      </c>
    </row>
    <row r="14" spans="1:4" x14ac:dyDescent="0.25">
      <c r="A14" s="3" t="s">
        <v>30</v>
      </c>
      <c r="B14" s="3">
        <v>2948</v>
      </c>
      <c r="C14" s="3">
        <v>14053</v>
      </c>
      <c r="D14" s="3">
        <v>11105</v>
      </c>
    </row>
  </sheetData>
  <conditionalFormatting sqref="A4 E4">
    <cfRule type="containsText" dxfId="3" priority="2" operator="containsText" text="ov">
      <formula>NOT(ISERROR(SEARCH("ov",A4)))</formula>
    </cfRule>
  </conditionalFormatting>
  <conditionalFormatting sqref="A4:A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{EDE7EF6C-9FED-45AD-B5D8-C90DEA06CF0C}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E7EF6C-9FED-45AD-B5D8-C90DEA06C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4EFE4-CAF9-4DAD-9DB5-CDEB73F91718}">
  <dimension ref="A1:H10"/>
  <sheetViews>
    <sheetView workbookViewId="0">
      <selection activeCell="C9" sqref="A1:H10"/>
    </sheetView>
  </sheetViews>
  <sheetFormatPr defaultRowHeight="15" x14ac:dyDescent="0.25"/>
  <cols>
    <col min="1" max="1" width="14.42578125" bestFit="1" customWidth="1"/>
    <col min="2" max="2" width="28.28515625" bestFit="1" customWidth="1"/>
    <col min="3" max="3" width="17.85546875" bestFit="1" customWidth="1"/>
    <col min="4" max="4" width="21.7109375" bestFit="1" customWidth="1"/>
    <col min="5" max="5" width="19.42578125" bestFit="1" customWidth="1"/>
    <col min="6" max="6" width="19.140625" bestFit="1" customWidth="1"/>
    <col min="7" max="7" width="20.7109375" bestFit="1" customWidth="1"/>
    <col min="8" max="8" width="11.140625" bestFit="1" customWidth="1"/>
  </cols>
  <sheetData>
    <row r="1" spans="1:8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</v>
      </c>
      <c r="H1" s="1" t="s">
        <v>6</v>
      </c>
    </row>
    <row r="2" spans="1:8" ht="21" x14ac:dyDescent="0.35">
      <c r="A2" s="1">
        <v>101</v>
      </c>
      <c r="B2" s="1" t="s">
        <v>7</v>
      </c>
      <c r="C2" s="1" t="s">
        <v>8</v>
      </c>
      <c r="D2" s="1">
        <v>1500</v>
      </c>
      <c r="E2" s="1">
        <v>1500</v>
      </c>
      <c r="F2" s="1">
        <v>0</v>
      </c>
      <c r="G2" s="1" t="str">
        <f t="shared" ref="G2:G10" si="0">IF(F2=0,"Match",IF(F2&gt;0,"overage","Shortage"))</f>
        <v>Match</v>
      </c>
      <c r="H2" s="1" t="s">
        <v>9</v>
      </c>
    </row>
    <row r="3" spans="1:8" ht="21" x14ac:dyDescent="0.35">
      <c r="A3" s="1">
        <v>102</v>
      </c>
      <c r="B3" s="1" t="s">
        <v>10</v>
      </c>
      <c r="C3" s="1" t="s">
        <v>11</v>
      </c>
      <c r="D3" s="1">
        <v>1000</v>
      </c>
      <c r="E3" s="1">
        <v>1000</v>
      </c>
      <c r="F3" s="1">
        <v>0</v>
      </c>
      <c r="G3" s="1" t="str">
        <f t="shared" si="0"/>
        <v>Match</v>
      </c>
      <c r="H3" s="1" t="s">
        <v>9</v>
      </c>
    </row>
    <row r="4" spans="1:8" ht="21" x14ac:dyDescent="0.35">
      <c r="A4" s="1">
        <v>103</v>
      </c>
      <c r="B4" s="1" t="s">
        <v>12</v>
      </c>
      <c r="C4" s="1" t="s">
        <v>11</v>
      </c>
      <c r="D4" s="1">
        <v>700</v>
      </c>
      <c r="E4" s="1">
        <v>-300</v>
      </c>
      <c r="F4" s="1">
        <v>1000</v>
      </c>
      <c r="G4" s="1" t="str">
        <f t="shared" si="0"/>
        <v>overage</v>
      </c>
      <c r="H4" s="1" t="s">
        <v>13</v>
      </c>
    </row>
    <row r="5" spans="1:8" ht="21" x14ac:dyDescent="0.35">
      <c r="A5" s="1">
        <v>104</v>
      </c>
      <c r="B5" s="1" t="s">
        <v>14</v>
      </c>
      <c r="C5" s="1" t="s">
        <v>15</v>
      </c>
      <c r="D5" s="1">
        <v>2000</v>
      </c>
      <c r="E5" s="1">
        <v>2000</v>
      </c>
      <c r="F5" s="1">
        <v>0</v>
      </c>
      <c r="G5" s="1" t="str">
        <f t="shared" si="0"/>
        <v>Match</v>
      </c>
      <c r="H5" s="1" t="s">
        <v>13</v>
      </c>
    </row>
    <row r="6" spans="1:8" ht="21" x14ac:dyDescent="0.35">
      <c r="A6" s="1">
        <v>105</v>
      </c>
      <c r="B6" s="1" t="s">
        <v>16</v>
      </c>
      <c r="C6" s="1" t="s">
        <v>17</v>
      </c>
      <c r="D6" s="1">
        <v>8500</v>
      </c>
      <c r="E6" s="1">
        <v>-1500</v>
      </c>
      <c r="F6" s="1">
        <v>10000</v>
      </c>
      <c r="G6" s="1" t="str">
        <f t="shared" si="0"/>
        <v>overage</v>
      </c>
      <c r="H6" s="1" t="s">
        <v>13</v>
      </c>
    </row>
    <row r="7" spans="1:8" ht="21" x14ac:dyDescent="0.35">
      <c r="A7" s="1">
        <v>106</v>
      </c>
      <c r="B7" s="1" t="s">
        <v>18</v>
      </c>
      <c r="C7" s="1" t="s">
        <v>19</v>
      </c>
      <c r="D7" s="1">
        <v>200</v>
      </c>
      <c r="E7" s="1">
        <v>200</v>
      </c>
      <c r="F7" s="1">
        <v>0</v>
      </c>
      <c r="G7" s="1" t="str">
        <f t="shared" si="0"/>
        <v>Match</v>
      </c>
      <c r="H7" s="1" t="s">
        <v>20</v>
      </c>
    </row>
    <row r="8" spans="1:8" ht="21" x14ac:dyDescent="0.35">
      <c r="A8" s="1">
        <v>107</v>
      </c>
      <c r="B8" s="1" t="s">
        <v>21</v>
      </c>
      <c r="C8" s="1" t="s">
        <v>8</v>
      </c>
      <c r="D8" s="1">
        <v>50</v>
      </c>
      <c r="E8" s="1">
        <v>-50</v>
      </c>
      <c r="F8" s="1">
        <v>100</v>
      </c>
      <c r="G8" s="1" t="str">
        <f t="shared" si="0"/>
        <v>overage</v>
      </c>
      <c r="H8" s="1" t="s">
        <v>9</v>
      </c>
    </row>
    <row r="9" spans="1:8" ht="21" x14ac:dyDescent="0.35">
      <c r="A9" s="1">
        <v>108</v>
      </c>
      <c r="B9" s="1" t="s">
        <v>22</v>
      </c>
      <c r="C9" s="1" t="s">
        <v>15</v>
      </c>
      <c r="D9" s="1">
        <v>100</v>
      </c>
      <c r="E9" s="1">
        <v>100</v>
      </c>
      <c r="F9" s="1">
        <v>0</v>
      </c>
      <c r="G9" s="1" t="str">
        <f t="shared" si="0"/>
        <v>Match</v>
      </c>
      <c r="H9" s="1" t="s">
        <v>23</v>
      </c>
    </row>
    <row r="10" spans="1:8" ht="21" x14ac:dyDescent="0.35">
      <c r="A10" s="1">
        <v>109</v>
      </c>
      <c r="B10" s="1" t="s">
        <v>24</v>
      </c>
      <c r="C10" s="1" t="s">
        <v>25</v>
      </c>
      <c r="D10" s="1">
        <v>3</v>
      </c>
      <c r="E10" s="1">
        <v>-2</v>
      </c>
      <c r="F10" s="1">
        <v>5</v>
      </c>
      <c r="G10" s="1" t="str">
        <f t="shared" si="0"/>
        <v>overage</v>
      </c>
      <c r="H10" s="1" t="s">
        <v>13</v>
      </c>
    </row>
  </sheetData>
  <conditionalFormatting sqref="G1:G10">
    <cfRule type="containsText" dxfId="2" priority="1" operator="containsText" text="over">
      <formula>NOT(ISERROR(SEARCH("over",G1)))</formula>
    </cfRule>
    <cfRule type="containsText" dxfId="1" priority="2" operator="containsText" text="Ma">
      <formula>NOT(ISERROR(SEARCH("Ma",G1)))</formula>
    </cfRule>
    <cfRule type="containsText" dxfId="0" priority="3" operator="containsText" text="&quot;overage&quot;">
      <formula>NOT(ISERROR(SEARCH("""overage""",G1)))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9044-2B79-46C5-B5ED-8C2C0A69DF28}">
  <dimension ref="A3:D10"/>
  <sheetViews>
    <sheetView topLeftCell="M34" zoomScaleNormal="100" workbookViewId="0">
      <selection activeCell="W54" sqref="W54"/>
    </sheetView>
  </sheetViews>
  <sheetFormatPr defaultRowHeight="15" x14ac:dyDescent="0.25"/>
  <cols>
    <col min="1" max="1" width="14.7109375" bestFit="1" customWidth="1"/>
    <col min="2" max="2" width="11.7109375" bestFit="1" customWidth="1"/>
    <col min="3" max="3" width="11" bestFit="1" customWidth="1"/>
    <col min="4" max="4" width="8.7109375" bestFit="1" customWidth="1"/>
    <col min="5" max="5" width="17.42578125" bestFit="1" customWidth="1"/>
    <col min="6" max="6" width="19.42578125" bestFit="1" customWidth="1"/>
    <col min="7" max="7" width="9.28515625" bestFit="1" customWidth="1"/>
    <col min="8" max="8" width="17.85546875" bestFit="1" customWidth="1"/>
    <col min="9" max="9" width="19" bestFit="1" customWidth="1"/>
    <col min="10" max="10" width="16.5703125" bestFit="1" customWidth="1"/>
    <col min="11" max="11" width="17.42578125" bestFit="1" customWidth="1"/>
    <col min="12" max="12" width="20" bestFit="1" customWidth="1"/>
    <col min="13" max="13" width="17" bestFit="1" customWidth="1"/>
    <col min="14" max="14" width="17.42578125" bestFit="1" customWidth="1"/>
    <col min="15" max="15" width="19.42578125" bestFit="1" customWidth="1"/>
    <col min="16" max="16" width="9.28515625" bestFit="1" customWidth="1"/>
    <col min="17" max="17" width="17.85546875" bestFit="1" customWidth="1"/>
    <col min="18" max="18" width="19" bestFit="1" customWidth="1"/>
    <col min="19" max="19" width="16.5703125" bestFit="1" customWidth="1"/>
    <col min="20" max="20" width="17.28515625" bestFit="1" customWidth="1"/>
    <col min="21" max="21" width="20" bestFit="1" customWidth="1"/>
    <col min="22" max="22" width="17" bestFit="1" customWidth="1"/>
    <col min="23" max="23" width="17.42578125" bestFit="1" customWidth="1"/>
    <col min="24" max="24" width="19.42578125" bestFit="1" customWidth="1"/>
    <col min="25" max="25" width="9.28515625" bestFit="1" customWidth="1"/>
    <col min="26" max="26" width="17.85546875" bestFit="1" customWidth="1"/>
    <col min="27" max="27" width="19" bestFit="1" customWidth="1"/>
    <col min="28" max="28" width="16.5703125" bestFit="1" customWidth="1"/>
    <col min="29" max="29" width="24.140625" bestFit="1" customWidth="1"/>
    <col min="30" max="30" width="22.42578125" bestFit="1" customWidth="1"/>
    <col min="31" max="31" width="22.28515625" bestFit="1" customWidth="1"/>
  </cols>
  <sheetData>
    <row r="3" spans="1:4" x14ac:dyDescent="0.25">
      <c r="A3" s="14" t="s">
        <v>27</v>
      </c>
      <c r="B3" t="s">
        <v>35</v>
      </c>
      <c r="C3" t="s">
        <v>36</v>
      </c>
      <c r="D3" t="s">
        <v>37</v>
      </c>
    </row>
    <row r="4" spans="1:4" x14ac:dyDescent="0.25">
      <c r="A4" s="15" t="s">
        <v>8</v>
      </c>
      <c r="B4">
        <v>1550</v>
      </c>
      <c r="C4">
        <v>1450</v>
      </c>
      <c r="D4">
        <v>100</v>
      </c>
    </row>
    <row r="5" spans="1:4" x14ac:dyDescent="0.25">
      <c r="A5" s="15" t="s">
        <v>15</v>
      </c>
      <c r="B5">
        <v>2100</v>
      </c>
      <c r="C5">
        <v>2100</v>
      </c>
      <c r="D5">
        <v>0</v>
      </c>
    </row>
    <row r="6" spans="1:4" x14ac:dyDescent="0.25">
      <c r="A6" s="15" t="s">
        <v>19</v>
      </c>
      <c r="B6">
        <v>200</v>
      </c>
      <c r="C6">
        <v>200</v>
      </c>
      <c r="D6">
        <v>0</v>
      </c>
    </row>
    <row r="7" spans="1:4" x14ac:dyDescent="0.25">
      <c r="A7" s="15" t="s">
        <v>17</v>
      </c>
      <c r="B7">
        <v>8500</v>
      </c>
      <c r="C7">
        <v>-1500</v>
      </c>
      <c r="D7">
        <v>10000</v>
      </c>
    </row>
    <row r="8" spans="1:4" x14ac:dyDescent="0.25">
      <c r="A8" s="15" t="s">
        <v>11</v>
      </c>
      <c r="B8">
        <v>1700</v>
      </c>
      <c r="C8">
        <v>700</v>
      </c>
      <c r="D8">
        <v>1000</v>
      </c>
    </row>
    <row r="9" spans="1:4" x14ac:dyDescent="0.25">
      <c r="A9" s="15" t="s">
        <v>25</v>
      </c>
      <c r="B9">
        <v>3</v>
      </c>
      <c r="C9">
        <v>-2</v>
      </c>
      <c r="D9">
        <v>5</v>
      </c>
    </row>
    <row r="10" spans="1:4" x14ac:dyDescent="0.25">
      <c r="A10" s="15" t="s">
        <v>30</v>
      </c>
      <c r="B10">
        <v>14053</v>
      </c>
      <c r="C10">
        <v>2948</v>
      </c>
      <c r="D10">
        <v>11105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A7B6-A259-4D34-B2CD-9482E1F0C30E}">
  <dimension ref="A6"/>
  <sheetViews>
    <sheetView tabSelected="1" topLeftCell="A7" zoomScale="50" zoomScaleNormal="50" workbookViewId="0">
      <selection activeCell="A36" sqref="A36"/>
    </sheetView>
  </sheetViews>
  <sheetFormatPr defaultRowHeight="15" x14ac:dyDescent="0.25"/>
  <sheetData>
    <row r="6" customFormat="1" x14ac:dyDescent="0.25"/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AA48AD-8F03-4FDB-AC7C-947D9DDB3C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Fact_Inventory</vt:lpstr>
      <vt:lpstr>PT_StockStatus</vt:lpstr>
      <vt:lpstr>PT_ByUnit</vt:lpstr>
      <vt:lpstr>PT_ByCategory</vt:lpstr>
      <vt:lpstr>Dashboard1</vt:lpstr>
      <vt:lpstr>Pivot_Inventory2</vt:lpstr>
      <vt:lpstr>Column Chart3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2026-02-09T23:09:16Z</dcterms:modified>
</cp:coreProperties>
</file>